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2021\Paper\ICDIP-2022\FinalTest\log\"/>
    </mc:Choice>
  </mc:AlternateContent>
  <xr:revisionPtr revIDLastSave="0" documentId="13_ncr:1_{94F2C463-E695-44F5-869E-26B58ACE85E0}" xr6:coauthVersionLast="36" xr6:coauthVersionMax="36" xr10:uidLastSave="{00000000-0000-0000-0000-000000000000}"/>
  <bookViews>
    <workbookView xWindow="0" yWindow="0" windowWidth="22990" windowHeight="8260" tabRatio="884" activeTab="6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91029"/>
</workbook>
</file>

<file path=xl/calcChain.xml><?xml version="1.0" encoding="utf-8"?>
<calcChain xmlns="http://schemas.openxmlformats.org/spreadsheetml/2006/main">
  <c r="AC52" i="29" l="1"/>
  <c r="AC53" i="29"/>
  <c r="AC54" i="29"/>
  <c r="AC55" i="29"/>
  <c r="AC56" i="29"/>
  <c r="AC57" i="29"/>
  <c r="AC58" i="29"/>
  <c r="AC59" i="29"/>
  <c r="AC60" i="29"/>
  <c r="AC61" i="29"/>
  <c r="AC62" i="29"/>
  <c r="AC63" i="29"/>
  <c r="AC64" i="29"/>
  <c r="AC65" i="29"/>
  <c r="AC66" i="29"/>
  <c r="AC67" i="29"/>
  <c r="AC68" i="29"/>
  <c r="AC69" i="29"/>
  <c r="AC70" i="29"/>
  <c r="AC71" i="29"/>
  <c r="AC72" i="29"/>
  <c r="AC73" i="29"/>
  <c r="AC74" i="29"/>
  <c r="AC51" i="29"/>
  <c r="AE62" i="29" l="1"/>
  <c r="AC80" i="29"/>
  <c r="AE66" i="29"/>
  <c r="AE54" i="29"/>
  <c r="AE70" i="29"/>
  <c r="AE74" i="29"/>
  <c r="AE58" i="29"/>
  <c r="R53" i="29"/>
  <c r="R54" i="29"/>
  <c r="R55" i="29"/>
  <c r="R56" i="29"/>
  <c r="R57" i="29"/>
  <c r="R58" i="29"/>
  <c r="R59" i="29"/>
  <c r="R60" i="29"/>
  <c r="R61" i="29"/>
  <c r="R62" i="29"/>
  <c r="R63" i="29"/>
  <c r="R64" i="29"/>
  <c r="R65" i="29"/>
  <c r="R66" i="29"/>
  <c r="R67" i="29"/>
  <c r="R68" i="29"/>
  <c r="R69" i="29"/>
  <c r="R70" i="29"/>
  <c r="R71" i="29"/>
  <c r="R72" i="29"/>
  <c r="R73" i="29"/>
  <c r="R74" i="29"/>
  <c r="R75" i="29"/>
  <c r="R76" i="29"/>
  <c r="R77" i="29"/>
  <c r="R78" i="29"/>
  <c r="R79" i="29"/>
  <c r="R80" i="29"/>
  <c r="R81" i="29"/>
  <c r="R82" i="29"/>
  <c r="T75" i="29" l="1"/>
  <c r="T80" i="29"/>
  <c r="S19" i="29" l="1"/>
  <c r="Z19" i="29"/>
  <c r="W19" i="29"/>
  <c r="Y15" i="29"/>
  <c r="X19" i="29"/>
  <c r="V47" i="29"/>
  <c r="X3" i="29"/>
  <c r="W39" i="29"/>
  <c r="V3" i="29"/>
  <c r="V19" i="29"/>
  <c r="V43" i="29"/>
  <c r="Y27" i="29"/>
  <c r="AA19" i="29"/>
  <c r="Y19" i="29"/>
  <c r="W3" i="29"/>
  <c r="V39" i="29"/>
  <c r="R50" i="29" l="1"/>
  <c r="Q50" i="29"/>
  <c r="R49" i="29"/>
  <c r="Q49" i="29"/>
  <c r="R48" i="29"/>
  <c r="Q48" i="29"/>
  <c r="R47" i="29"/>
  <c r="Q47" i="29"/>
  <c r="R46" i="29"/>
  <c r="Q46" i="29"/>
  <c r="R45" i="29"/>
  <c r="Q45" i="29"/>
  <c r="R44" i="29"/>
  <c r="Q44" i="29"/>
  <c r="R43" i="29"/>
  <c r="Q43" i="29"/>
  <c r="R42" i="29"/>
  <c r="Q42" i="29"/>
  <c r="R41" i="29"/>
  <c r="Q41" i="29"/>
  <c r="R40" i="29"/>
  <c r="Q40" i="29"/>
  <c r="R39" i="29"/>
  <c r="Q39" i="29"/>
  <c r="R38" i="29"/>
  <c r="Q38" i="29"/>
  <c r="R37" i="29"/>
  <c r="Q37" i="29"/>
  <c r="R36" i="29"/>
  <c r="Q36" i="29"/>
  <c r="R35" i="29"/>
  <c r="Q35" i="29"/>
  <c r="R34" i="29"/>
  <c r="Q34" i="29"/>
  <c r="R33" i="29"/>
  <c r="Q33" i="29"/>
  <c r="R32" i="29"/>
  <c r="Q32" i="29"/>
  <c r="R31" i="29"/>
  <c r="Q31" i="29"/>
  <c r="R30" i="29"/>
  <c r="Q30" i="29"/>
  <c r="R29" i="29"/>
  <c r="Q29" i="29"/>
  <c r="R28" i="29"/>
  <c r="Q28" i="29"/>
  <c r="R27" i="29"/>
  <c r="Q27" i="29"/>
  <c r="R26" i="29"/>
  <c r="Q26" i="29"/>
  <c r="R25" i="29"/>
  <c r="Q25" i="29"/>
  <c r="R24" i="29"/>
  <c r="Q24" i="29"/>
  <c r="R23" i="29"/>
  <c r="Q23" i="29"/>
  <c r="R22" i="29"/>
  <c r="Q22" i="29"/>
  <c r="R21" i="29"/>
  <c r="Q21" i="29"/>
  <c r="R20" i="29"/>
  <c r="Q20" i="29"/>
  <c r="R19" i="29"/>
  <c r="Q19" i="29"/>
  <c r="J50" i="29"/>
  <c r="I50" i="29"/>
  <c r="J49" i="29"/>
  <c r="I49" i="29"/>
  <c r="J48" i="29"/>
  <c r="I48" i="29"/>
  <c r="J47" i="29"/>
  <c r="I47" i="29"/>
  <c r="J46" i="29"/>
  <c r="I46" i="29"/>
  <c r="J45" i="29"/>
  <c r="I45" i="29"/>
  <c r="J44" i="29"/>
  <c r="I44" i="29"/>
  <c r="J43" i="29"/>
  <c r="I43" i="29"/>
  <c r="J42" i="29"/>
  <c r="I42" i="29"/>
  <c r="J41" i="29"/>
  <c r="I41" i="29"/>
  <c r="J40" i="29"/>
  <c r="I40" i="29"/>
  <c r="J39" i="29"/>
  <c r="I39" i="29"/>
  <c r="J38" i="29"/>
  <c r="I38" i="29"/>
  <c r="J37" i="29"/>
  <c r="I37" i="29"/>
  <c r="J36" i="29"/>
  <c r="I36" i="29"/>
  <c r="J35" i="29"/>
  <c r="I35" i="29"/>
  <c r="J34" i="29"/>
  <c r="I34" i="29"/>
  <c r="J33" i="29"/>
  <c r="I33" i="29"/>
  <c r="J32" i="29"/>
  <c r="I32" i="29"/>
  <c r="J31" i="29"/>
  <c r="I31" i="29"/>
  <c r="J30" i="29"/>
  <c r="I30" i="29"/>
  <c r="J29" i="29"/>
  <c r="I29" i="29"/>
  <c r="J28" i="29"/>
  <c r="I28" i="29"/>
  <c r="J27" i="29"/>
  <c r="I27" i="29"/>
  <c r="J26" i="29"/>
  <c r="I26" i="29"/>
  <c r="J25" i="29"/>
  <c r="I25" i="29"/>
  <c r="J24" i="29"/>
  <c r="I24" i="29"/>
  <c r="J23" i="29"/>
  <c r="I23" i="29"/>
  <c r="J22" i="29"/>
  <c r="I22" i="29"/>
  <c r="J21" i="29"/>
  <c r="I21" i="29"/>
  <c r="J20" i="29"/>
  <c r="I20" i="29"/>
  <c r="J19" i="29"/>
  <c r="I19" i="29"/>
  <c r="J4" i="29" l="1"/>
  <c r="S42" i="29"/>
  <c r="S41" i="29"/>
  <c r="S40" i="29"/>
  <c r="S39" i="29"/>
  <c r="S76" i="29" l="1"/>
  <c r="S22" i="29"/>
  <c r="S43" i="29" l="1"/>
  <c r="T50" i="29" l="1"/>
  <c r="T49" i="29"/>
  <c r="T46" i="29"/>
  <c r="T44" i="29"/>
  <c r="Q58" i="29"/>
  <c r="J58" i="29"/>
  <c r="I58" i="29"/>
  <c r="Q57" i="29"/>
  <c r="J57" i="29"/>
  <c r="I57" i="29"/>
  <c r="Q56" i="29"/>
  <c r="J56" i="29"/>
  <c r="I56" i="29"/>
  <c r="Q55" i="29"/>
  <c r="T55" i="29" s="1"/>
  <c r="N18" i="30" s="1"/>
  <c r="J55" i="29"/>
  <c r="I55" i="29"/>
  <c r="J54" i="29"/>
  <c r="I54" i="29"/>
  <c r="J53" i="29"/>
  <c r="I53" i="29"/>
  <c r="R52" i="29"/>
  <c r="J52" i="29"/>
  <c r="I52" i="29"/>
  <c r="R51" i="29"/>
  <c r="J51" i="29"/>
  <c r="I51" i="29"/>
  <c r="I78" i="29" s="1"/>
  <c r="Q74" i="29"/>
  <c r="Q73" i="29"/>
  <c r="Q72" i="29"/>
  <c r="T72" i="29" s="1"/>
  <c r="Q71" i="29"/>
  <c r="J74" i="29"/>
  <c r="I74" i="29"/>
  <c r="J73" i="29"/>
  <c r="I73" i="29"/>
  <c r="J72" i="29"/>
  <c r="I72" i="29"/>
  <c r="J71" i="29"/>
  <c r="I71" i="29"/>
  <c r="I80" i="20"/>
  <c r="I76" i="20"/>
  <c r="D51" i="20"/>
  <c r="E51" i="20"/>
  <c r="F51" i="20"/>
  <c r="G51" i="20"/>
  <c r="H51" i="20"/>
  <c r="J51" i="20" s="1"/>
  <c r="I51" i="20"/>
  <c r="I78" i="20" s="1"/>
  <c r="D52" i="20"/>
  <c r="E52" i="20"/>
  <c r="F52" i="20"/>
  <c r="G52" i="20"/>
  <c r="H52" i="20"/>
  <c r="J52" i="20" s="1"/>
  <c r="I52" i="20"/>
  <c r="D53" i="20"/>
  <c r="E53" i="20"/>
  <c r="F53" i="20"/>
  <c r="G53" i="20"/>
  <c r="H53" i="20"/>
  <c r="J53" i="20" s="1"/>
  <c r="I53" i="20"/>
  <c r="D54" i="20"/>
  <c r="E54" i="20"/>
  <c r="F54" i="20"/>
  <c r="G54" i="20"/>
  <c r="H54" i="20"/>
  <c r="I54" i="20"/>
  <c r="J54" i="20"/>
  <c r="D55" i="20"/>
  <c r="E55" i="20"/>
  <c r="F55" i="20"/>
  <c r="G55" i="20"/>
  <c r="H55" i="20"/>
  <c r="I55" i="20"/>
  <c r="J55" i="20"/>
  <c r="D56" i="20"/>
  <c r="E56" i="20"/>
  <c r="F56" i="20"/>
  <c r="G56" i="20"/>
  <c r="H56" i="20"/>
  <c r="J56" i="20" s="1"/>
  <c r="I56" i="20"/>
  <c r="D57" i="20"/>
  <c r="E57" i="20"/>
  <c r="F57" i="20"/>
  <c r="G57" i="20"/>
  <c r="H57" i="20"/>
  <c r="I57" i="20"/>
  <c r="J57" i="20"/>
  <c r="D58" i="20"/>
  <c r="E58" i="20"/>
  <c r="F58" i="20"/>
  <c r="G58" i="20"/>
  <c r="H58" i="20"/>
  <c r="J58" i="20" s="1"/>
  <c r="I58" i="20"/>
  <c r="D59" i="20"/>
  <c r="E59" i="20"/>
  <c r="F59" i="20"/>
  <c r="G59" i="20"/>
  <c r="H59" i="20"/>
  <c r="J59" i="20" s="1"/>
  <c r="I59" i="20"/>
  <c r="D60" i="20"/>
  <c r="E60" i="20"/>
  <c r="F60" i="20"/>
  <c r="G60" i="20"/>
  <c r="H60" i="20"/>
  <c r="I60" i="20"/>
  <c r="J60" i="20"/>
  <c r="D61" i="20"/>
  <c r="E61" i="20"/>
  <c r="F61" i="20"/>
  <c r="G61" i="20"/>
  <c r="H61" i="20"/>
  <c r="I61" i="20"/>
  <c r="I79" i="20" s="1"/>
  <c r="J61" i="20"/>
  <c r="D62" i="20"/>
  <c r="E62" i="20"/>
  <c r="F62" i="20"/>
  <c r="G62" i="20"/>
  <c r="H62" i="20"/>
  <c r="J62" i="20" s="1"/>
  <c r="I62" i="20"/>
  <c r="D63" i="20"/>
  <c r="E63" i="20"/>
  <c r="F63" i="20"/>
  <c r="G63" i="20"/>
  <c r="H63" i="20"/>
  <c r="J63" i="20" s="1"/>
  <c r="I63" i="20"/>
  <c r="D64" i="20"/>
  <c r="E64" i="20"/>
  <c r="F64" i="20"/>
  <c r="G64" i="20"/>
  <c r="H64" i="20"/>
  <c r="I64" i="20"/>
  <c r="J64" i="20"/>
  <c r="D65" i="20"/>
  <c r="E65" i="20"/>
  <c r="F65" i="20"/>
  <c r="G65" i="20"/>
  <c r="H65" i="20"/>
  <c r="I65" i="20"/>
  <c r="J65" i="20"/>
  <c r="D66" i="20"/>
  <c r="E66" i="20"/>
  <c r="F66" i="20"/>
  <c r="G66" i="20"/>
  <c r="H66" i="20"/>
  <c r="J66" i="20" s="1"/>
  <c r="I66" i="20"/>
  <c r="D67" i="20"/>
  <c r="E67" i="20"/>
  <c r="F67" i="20"/>
  <c r="G67" i="20"/>
  <c r="H67" i="20"/>
  <c r="J67" i="20" s="1"/>
  <c r="I67" i="20"/>
  <c r="D68" i="20"/>
  <c r="E68" i="20"/>
  <c r="F68" i="20"/>
  <c r="G68" i="20"/>
  <c r="H68" i="20"/>
  <c r="J68" i="20" s="1"/>
  <c r="I68" i="20"/>
  <c r="T68" i="20" s="1"/>
  <c r="D69" i="20"/>
  <c r="E69" i="20"/>
  <c r="F69" i="20"/>
  <c r="G69" i="20"/>
  <c r="H69" i="20"/>
  <c r="J69" i="20" s="1"/>
  <c r="I69" i="20"/>
  <c r="D70" i="20"/>
  <c r="E70" i="20"/>
  <c r="F70" i="20"/>
  <c r="G70" i="20"/>
  <c r="H70" i="20"/>
  <c r="I70" i="20"/>
  <c r="J70" i="20"/>
  <c r="D71" i="20"/>
  <c r="E71" i="20"/>
  <c r="F71" i="20"/>
  <c r="G71" i="20"/>
  <c r="H71" i="20"/>
  <c r="I71" i="20"/>
  <c r="J71" i="20"/>
  <c r="D72" i="20"/>
  <c r="E72" i="20"/>
  <c r="F72" i="20"/>
  <c r="G72" i="20"/>
  <c r="H72" i="20"/>
  <c r="J72" i="20" s="1"/>
  <c r="I72" i="20"/>
  <c r="D73" i="20"/>
  <c r="E73" i="20"/>
  <c r="F73" i="20"/>
  <c r="G73" i="20"/>
  <c r="H73" i="20"/>
  <c r="I73" i="20"/>
  <c r="J73" i="20"/>
  <c r="D74" i="20"/>
  <c r="E74" i="20"/>
  <c r="F74" i="20"/>
  <c r="G74" i="20"/>
  <c r="H74" i="20"/>
  <c r="J74" i="20" s="1"/>
  <c r="I74" i="20"/>
  <c r="I77" i="20"/>
  <c r="J63" i="25"/>
  <c r="J66" i="25"/>
  <c r="T73" i="29"/>
  <c r="S70" i="29"/>
  <c r="Q70" i="29"/>
  <c r="J70" i="29"/>
  <c r="I70" i="29"/>
  <c r="S69" i="29"/>
  <c r="Q69" i="29"/>
  <c r="T69" i="29" s="1"/>
  <c r="J69" i="29"/>
  <c r="I69" i="29"/>
  <c r="S68" i="29"/>
  <c r="Q68" i="29"/>
  <c r="J68" i="29"/>
  <c r="I68" i="29"/>
  <c r="S67" i="29"/>
  <c r="Q67" i="29"/>
  <c r="T67" i="29" s="1"/>
  <c r="N21" i="30" s="1"/>
  <c r="J67" i="29"/>
  <c r="I67" i="29"/>
  <c r="S66" i="29"/>
  <c r="Q66" i="29"/>
  <c r="T66" i="29" s="1"/>
  <c r="J66" i="29"/>
  <c r="I66" i="29"/>
  <c r="S65" i="29"/>
  <c r="Q65" i="29"/>
  <c r="T65" i="29" s="1"/>
  <c r="J65" i="29"/>
  <c r="I65" i="29"/>
  <c r="S64" i="29"/>
  <c r="Q64" i="29"/>
  <c r="J64" i="29"/>
  <c r="I64" i="29"/>
  <c r="S63" i="29"/>
  <c r="Q63" i="29"/>
  <c r="J63" i="29"/>
  <c r="I63" i="29"/>
  <c r="S62" i="29"/>
  <c r="Q62" i="29"/>
  <c r="J62" i="29"/>
  <c r="I62" i="29"/>
  <c r="S61" i="29"/>
  <c r="Q61" i="29"/>
  <c r="J61" i="29"/>
  <c r="I61" i="29"/>
  <c r="S60" i="29"/>
  <c r="Q60" i="29"/>
  <c r="T60" i="29" s="1"/>
  <c r="J60" i="29"/>
  <c r="I60" i="29"/>
  <c r="S59" i="29"/>
  <c r="Q59" i="29"/>
  <c r="J59" i="29"/>
  <c r="I59" i="29"/>
  <c r="S58" i="29"/>
  <c r="T58" i="29"/>
  <c r="S57" i="29"/>
  <c r="T57" i="29"/>
  <c r="S56" i="29"/>
  <c r="T56" i="29"/>
  <c r="S54" i="29"/>
  <c r="T54" i="29"/>
  <c r="S53" i="29"/>
  <c r="T53" i="29"/>
  <c r="S52" i="29"/>
  <c r="T52" i="29"/>
  <c r="S51" i="29"/>
  <c r="S49" i="29"/>
  <c r="S48" i="29"/>
  <c r="T48" i="29"/>
  <c r="S45" i="29"/>
  <c r="T45" i="29"/>
  <c r="S44" i="29"/>
  <c r="T43" i="29"/>
  <c r="N15" i="30" s="1"/>
  <c r="T42" i="29"/>
  <c r="T41" i="29"/>
  <c r="T40" i="29"/>
  <c r="T39" i="29"/>
  <c r="N14" i="30" s="1"/>
  <c r="S38" i="29"/>
  <c r="T38" i="29"/>
  <c r="S37" i="29"/>
  <c r="T37" i="29"/>
  <c r="S36" i="29"/>
  <c r="T36" i="29"/>
  <c r="S35" i="29"/>
  <c r="T34" i="29"/>
  <c r="S34" i="29"/>
  <c r="T33" i="29"/>
  <c r="S33" i="29"/>
  <c r="T32" i="29"/>
  <c r="S32" i="29"/>
  <c r="T31" i="29"/>
  <c r="N12" i="30" s="1"/>
  <c r="S31" i="29"/>
  <c r="T30" i="29"/>
  <c r="S30" i="29"/>
  <c r="T29" i="29"/>
  <c r="S29" i="29"/>
  <c r="T28" i="29"/>
  <c r="S28" i="29"/>
  <c r="S27" i="29"/>
  <c r="T27" i="29"/>
  <c r="N11" i="30" s="1"/>
  <c r="S26" i="29"/>
  <c r="T26" i="29"/>
  <c r="S25" i="29"/>
  <c r="T25" i="29"/>
  <c r="S24" i="29"/>
  <c r="T24" i="29"/>
  <c r="T23" i="29"/>
  <c r="N10" i="30" s="1"/>
  <c r="S23" i="29"/>
  <c r="T22" i="29"/>
  <c r="T21" i="29"/>
  <c r="S21" i="29"/>
  <c r="T20" i="29"/>
  <c r="S20" i="29"/>
  <c r="T19" i="29"/>
  <c r="T76" i="29" s="1"/>
  <c r="N24" i="30" s="1"/>
  <c r="I76" i="29"/>
  <c r="Q18" i="29"/>
  <c r="R18" i="29"/>
  <c r="I18" i="29"/>
  <c r="J18" i="29"/>
  <c r="Q17" i="29"/>
  <c r="R17" i="29"/>
  <c r="I17" i="29"/>
  <c r="J17" i="29"/>
  <c r="S16" i="29"/>
  <c r="Q16" i="29"/>
  <c r="R16" i="29"/>
  <c r="I16" i="29"/>
  <c r="J16" i="29"/>
  <c r="Q15" i="29"/>
  <c r="R15" i="29"/>
  <c r="I15" i="29"/>
  <c r="J15" i="29"/>
  <c r="Q14" i="29"/>
  <c r="T14" i="29" s="1"/>
  <c r="R14" i="29"/>
  <c r="I14" i="29"/>
  <c r="J14" i="29"/>
  <c r="Q13" i="29"/>
  <c r="T13" i="29" s="1"/>
  <c r="R13" i="29"/>
  <c r="I13" i="29"/>
  <c r="J13" i="29"/>
  <c r="Q12" i="29"/>
  <c r="T12" i="29" s="1"/>
  <c r="R12" i="29"/>
  <c r="I12" i="29"/>
  <c r="J12" i="29"/>
  <c r="Q11" i="29"/>
  <c r="R11" i="29"/>
  <c r="I11" i="29"/>
  <c r="J11" i="29"/>
  <c r="Q10" i="29"/>
  <c r="T10" i="29" s="1"/>
  <c r="R10" i="29"/>
  <c r="I10" i="29"/>
  <c r="J10" i="29"/>
  <c r="Q9" i="29"/>
  <c r="R9" i="29"/>
  <c r="I9" i="29"/>
  <c r="J9" i="29"/>
  <c r="Q8" i="29"/>
  <c r="T8" i="29" s="1"/>
  <c r="R8" i="29"/>
  <c r="I8" i="29"/>
  <c r="J8" i="29"/>
  <c r="Q7" i="29"/>
  <c r="I7" i="29"/>
  <c r="J7" i="29"/>
  <c r="Q6" i="29"/>
  <c r="R6" i="29"/>
  <c r="I6" i="29"/>
  <c r="J6" i="29"/>
  <c r="Q5" i="29"/>
  <c r="S5" i="29"/>
  <c r="I5" i="29"/>
  <c r="J5" i="29"/>
  <c r="R4" i="29"/>
  <c r="Q4" i="29"/>
  <c r="T4" i="29" s="1"/>
  <c r="I4" i="29"/>
  <c r="Q3" i="29"/>
  <c r="I3" i="29"/>
  <c r="J3" i="29"/>
  <c r="I78" i="25"/>
  <c r="S75" i="25"/>
  <c r="T74" i="25"/>
  <c r="R74" i="25"/>
  <c r="Q74" i="25"/>
  <c r="P74" i="25"/>
  <c r="S74" i="25" s="1"/>
  <c r="O74" i="25"/>
  <c r="N74" i="25"/>
  <c r="M74" i="25"/>
  <c r="L74" i="25"/>
  <c r="I74" i="25"/>
  <c r="H74" i="25"/>
  <c r="J74" i="25" s="1"/>
  <c r="G74" i="25"/>
  <c r="F74" i="25"/>
  <c r="E74" i="25"/>
  <c r="D74" i="25"/>
  <c r="T73" i="25"/>
  <c r="R73" i="25"/>
  <c r="Q73" i="25"/>
  <c r="P73" i="25"/>
  <c r="O73" i="25"/>
  <c r="N73" i="25"/>
  <c r="M73" i="25"/>
  <c r="L73" i="25"/>
  <c r="I73" i="25"/>
  <c r="H73" i="25"/>
  <c r="J73" i="25" s="1"/>
  <c r="G73" i="25"/>
  <c r="F73" i="25"/>
  <c r="E73" i="25"/>
  <c r="D73" i="25"/>
  <c r="T72" i="25"/>
  <c r="R72" i="25"/>
  <c r="Q72" i="25"/>
  <c r="P72" i="25"/>
  <c r="O72" i="25"/>
  <c r="N72" i="25"/>
  <c r="M72" i="25"/>
  <c r="L72" i="25"/>
  <c r="I72" i="25"/>
  <c r="H72" i="25"/>
  <c r="J72" i="25" s="1"/>
  <c r="G72" i="25"/>
  <c r="F72" i="25"/>
  <c r="E72" i="25"/>
  <c r="D72" i="25"/>
  <c r="T71" i="25"/>
  <c r="S71" i="25"/>
  <c r="Q71" i="25"/>
  <c r="P71" i="25"/>
  <c r="R71" i="25" s="1"/>
  <c r="O71" i="25"/>
  <c r="N71" i="25"/>
  <c r="M71" i="25"/>
  <c r="L71" i="25"/>
  <c r="J71" i="25"/>
  <c r="I71" i="25"/>
  <c r="H71" i="25"/>
  <c r="G71" i="25"/>
  <c r="F71" i="25"/>
  <c r="E71" i="25"/>
  <c r="D71" i="25"/>
  <c r="T70" i="25"/>
  <c r="S70" i="25"/>
  <c r="Q70" i="25"/>
  <c r="R70" i="25"/>
  <c r="J70" i="25"/>
  <c r="I70" i="25"/>
  <c r="T69" i="25"/>
  <c r="S69" i="25"/>
  <c r="Q69" i="25"/>
  <c r="R69" i="25"/>
  <c r="J69" i="25"/>
  <c r="I69" i="25"/>
  <c r="T68" i="25"/>
  <c r="S68" i="25"/>
  <c r="Q68" i="25"/>
  <c r="R68" i="25"/>
  <c r="J68" i="25"/>
  <c r="I68" i="25"/>
  <c r="S67" i="25"/>
  <c r="R67" i="25"/>
  <c r="Q67" i="25"/>
  <c r="T67" i="25" s="1"/>
  <c r="J67" i="25"/>
  <c r="I67" i="25"/>
  <c r="R66" i="25"/>
  <c r="Q66" i="25"/>
  <c r="T66" i="25" s="1"/>
  <c r="I66" i="25"/>
  <c r="S65" i="25"/>
  <c r="R65" i="25"/>
  <c r="Q65" i="25"/>
  <c r="T65" i="25" s="1"/>
  <c r="J65" i="25"/>
  <c r="I65" i="25"/>
  <c r="S64" i="25"/>
  <c r="R64" i="25"/>
  <c r="Q64" i="25"/>
  <c r="T64" i="25" s="1"/>
  <c r="J64" i="25"/>
  <c r="I64" i="25"/>
  <c r="R63" i="25"/>
  <c r="Q63" i="25"/>
  <c r="T63" i="25" s="1"/>
  <c r="I63" i="25"/>
  <c r="R62" i="25"/>
  <c r="Q62" i="25"/>
  <c r="T62" i="25" s="1"/>
  <c r="S62" i="25"/>
  <c r="J62" i="25"/>
  <c r="I62" i="25"/>
  <c r="R61" i="25"/>
  <c r="Q61" i="25"/>
  <c r="T61" i="25" s="1"/>
  <c r="S61" i="25"/>
  <c r="J61" i="25"/>
  <c r="I61" i="25"/>
  <c r="R60" i="25"/>
  <c r="Q60" i="25"/>
  <c r="T60" i="25" s="1"/>
  <c r="S60" i="25"/>
  <c r="J60" i="25"/>
  <c r="I60" i="25"/>
  <c r="Q59" i="25"/>
  <c r="S59" i="25"/>
  <c r="J59" i="25"/>
  <c r="I59" i="25"/>
  <c r="I79" i="25" s="1"/>
  <c r="Q58" i="25"/>
  <c r="T58" i="25" s="1"/>
  <c r="P58" i="25"/>
  <c r="S58" i="25" s="1"/>
  <c r="O58" i="25"/>
  <c r="N58" i="25"/>
  <c r="M58" i="25"/>
  <c r="L58" i="25"/>
  <c r="J58" i="25"/>
  <c r="I58" i="25"/>
  <c r="H58" i="25"/>
  <c r="G58" i="25"/>
  <c r="F58" i="25"/>
  <c r="E58" i="25"/>
  <c r="D58" i="25"/>
  <c r="Q57" i="25"/>
  <c r="T57" i="25" s="1"/>
  <c r="P57" i="25"/>
  <c r="S57" i="25" s="1"/>
  <c r="O57" i="25"/>
  <c r="N57" i="25"/>
  <c r="M57" i="25"/>
  <c r="L57" i="25"/>
  <c r="J57" i="25"/>
  <c r="I57" i="25"/>
  <c r="H57" i="25"/>
  <c r="G57" i="25"/>
  <c r="F57" i="25"/>
  <c r="E57" i="25"/>
  <c r="D57" i="25"/>
  <c r="Q56" i="25"/>
  <c r="T56" i="25" s="1"/>
  <c r="P56" i="25"/>
  <c r="S56" i="25" s="1"/>
  <c r="O56" i="25"/>
  <c r="N56" i="25"/>
  <c r="M56" i="25"/>
  <c r="L56" i="25"/>
  <c r="J56" i="25"/>
  <c r="I56" i="25"/>
  <c r="H56" i="25"/>
  <c r="G56" i="25"/>
  <c r="F56" i="25"/>
  <c r="E56" i="25"/>
  <c r="D56" i="25"/>
  <c r="T55" i="25"/>
  <c r="Q55" i="25"/>
  <c r="P55" i="25"/>
  <c r="S55" i="25" s="1"/>
  <c r="O55" i="25"/>
  <c r="N55" i="25"/>
  <c r="M55" i="25"/>
  <c r="L55" i="25"/>
  <c r="J55" i="25"/>
  <c r="I55" i="25"/>
  <c r="H55" i="25"/>
  <c r="G55" i="25"/>
  <c r="F55" i="25"/>
  <c r="E55" i="25"/>
  <c r="D55" i="25"/>
  <c r="T54" i="25"/>
  <c r="Q54" i="25"/>
  <c r="S54" i="25"/>
  <c r="J54" i="25"/>
  <c r="I54" i="25"/>
  <c r="T53" i="25"/>
  <c r="Q53" i="25"/>
  <c r="S53" i="25"/>
  <c r="J53" i="25"/>
  <c r="I53" i="25"/>
  <c r="T52" i="25"/>
  <c r="Q52" i="25"/>
  <c r="S52" i="25"/>
  <c r="J52" i="25"/>
  <c r="I52" i="25"/>
  <c r="S51" i="25"/>
  <c r="S78" i="25" s="1"/>
  <c r="M55" i="30" s="1"/>
  <c r="R51" i="25"/>
  <c r="Q51" i="25"/>
  <c r="J51" i="25"/>
  <c r="J78" i="25" s="1"/>
  <c r="I51" i="25"/>
  <c r="T51" i="25" s="1"/>
  <c r="T78" i="25" s="1"/>
  <c r="S50" i="25"/>
  <c r="R50" i="25"/>
  <c r="Q50" i="25"/>
  <c r="J50" i="25"/>
  <c r="I50" i="25"/>
  <c r="T50" i="25" s="1"/>
  <c r="S49" i="25"/>
  <c r="R49" i="25"/>
  <c r="Q49" i="25"/>
  <c r="J49" i="25"/>
  <c r="I49" i="25"/>
  <c r="T49" i="25" s="1"/>
  <c r="S48" i="25"/>
  <c r="M44" i="30" s="1"/>
  <c r="R48" i="25"/>
  <c r="Q48" i="25"/>
  <c r="J48" i="25"/>
  <c r="I48" i="25"/>
  <c r="T48" i="25" s="1"/>
  <c r="S47" i="25"/>
  <c r="Q47" i="25"/>
  <c r="T47" i="25" s="1"/>
  <c r="R47" i="25"/>
  <c r="I47" i="25"/>
  <c r="J47" i="25"/>
  <c r="S46" i="25"/>
  <c r="Q46" i="25"/>
  <c r="T46" i="25" s="1"/>
  <c r="R46" i="25"/>
  <c r="I46" i="25"/>
  <c r="J46" i="25"/>
  <c r="S45" i="25"/>
  <c r="Q45" i="25"/>
  <c r="T45" i="25" s="1"/>
  <c r="R45" i="25"/>
  <c r="I45" i="25"/>
  <c r="J45" i="25"/>
  <c r="S44" i="25"/>
  <c r="Q44" i="25"/>
  <c r="T44" i="25" s="1"/>
  <c r="R44" i="25"/>
  <c r="I44" i="25"/>
  <c r="J44" i="25"/>
  <c r="R43" i="25"/>
  <c r="Q43" i="25"/>
  <c r="I43" i="25"/>
  <c r="T43" i="25" s="1"/>
  <c r="J43" i="25"/>
  <c r="R42" i="25"/>
  <c r="Q42" i="25"/>
  <c r="P42" i="25"/>
  <c r="S42" i="25" s="1"/>
  <c r="O42" i="25"/>
  <c r="N42" i="25"/>
  <c r="M42" i="25"/>
  <c r="L42" i="25"/>
  <c r="I42" i="25"/>
  <c r="T42" i="25" s="1"/>
  <c r="H42" i="25"/>
  <c r="J42" i="25" s="1"/>
  <c r="G42" i="25"/>
  <c r="F42" i="25"/>
  <c r="E42" i="25"/>
  <c r="D42" i="25"/>
  <c r="R41" i="25"/>
  <c r="Q41" i="25"/>
  <c r="P41" i="25"/>
  <c r="O41" i="25"/>
  <c r="N41" i="25"/>
  <c r="M41" i="25"/>
  <c r="L41" i="25"/>
  <c r="I41" i="25"/>
  <c r="T41" i="25" s="1"/>
  <c r="H41" i="25"/>
  <c r="J41" i="25" s="1"/>
  <c r="G41" i="25"/>
  <c r="F41" i="25"/>
  <c r="E41" i="25"/>
  <c r="D41" i="25"/>
  <c r="R40" i="25"/>
  <c r="Q40" i="25"/>
  <c r="P40" i="25"/>
  <c r="O40" i="25"/>
  <c r="N40" i="25"/>
  <c r="M40" i="25"/>
  <c r="L40" i="25"/>
  <c r="I40" i="25"/>
  <c r="T40" i="25" s="1"/>
  <c r="H40" i="25"/>
  <c r="J40" i="25" s="1"/>
  <c r="G40" i="25"/>
  <c r="F40" i="25"/>
  <c r="E40" i="25"/>
  <c r="D40" i="25"/>
  <c r="T39" i="25"/>
  <c r="S39" i="25"/>
  <c r="Q39" i="25"/>
  <c r="P39" i="25"/>
  <c r="R39" i="25" s="1"/>
  <c r="O39" i="25"/>
  <c r="N39" i="25"/>
  <c r="M39" i="25"/>
  <c r="L39" i="25"/>
  <c r="J39" i="25"/>
  <c r="I39" i="25"/>
  <c r="H39" i="25"/>
  <c r="G39" i="25"/>
  <c r="F39" i="25"/>
  <c r="E39" i="25"/>
  <c r="D39" i="25"/>
  <c r="T38" i="25"/>
  <c r="S38" i="25"/>
  <c r="Q38" i="25"/>
  <c r="P38" i="25"/>
  <c r="R38" i="25" s="1"/>
  <c r="O38" i="25"/>
  <c r="N38" i="25"/>
  <c r="M38" i="25"/>
  <c r="L38" i="25"/>
  <c r="J38" i="25"/>
  <c r="I38" i="25"/>
  <c r="H38" i="25"/>
  <c r="G38" i="25"/>
  <c r="F38" i="25"/>
  <c r="E38" i="25"/>
  <c r="D38" i="25"/>
  <c r="T37" i="25"/>
  <c r="S37" i="25"/>
  <c r="Q37" i="25"/>
  <c r="P37" i="25"/>
  <c r="R37" i="25" s="1"/>
  <c r="O37" i="25"/>
  <c r="N37" i="25"/>
  <c r="M37" i="25"/>
  <c r="L37" i="25"/>
  <c r="J37" i="25"/>
  <c r="I37" i="25"/>
  <c r="H37" i="25"/>
  <c r="G37" i="25"/>
  <c r="F37" i="25"/>
  <c r="E37" i="25"/>
  <c r="D37" i="25"/>
  <c r="T36" i="25"/>
  <c r="S36" i="25"/>
  <c r="Q36" i="25"/>
  <c r="P36" i="25"/>
  <c r="R36" i="25" s="1"/>
  <c r="O36" i="25"/>
  <c r="N36" i="25"/>
  <c r="M36" i="25"/>
  <c r="L36" i="25"/>
  <c r="J36" i="25"/>
  <c r="I36" i="25"/>
  <c r="H36" i="25"/>
  <c r="G36" i="25"/>
  <c r="F36" i="25"/>
  <c r="E36" i="25"/>
  <c r="D36" i="25"/>
  <c r="S35" i="25"/>
  <c r="S77" i="25" s="1"/>
  <c r="F27" i="9" s="1"/>
  <c r="R35" i="25"/>
  <c r="Q35" i="25"/>
  <c r="T35" i="25" s="1"/>
  <c r="T77" i="25" s="1"/>
  <c r="N53" i="30" s="1"/>
  <c r="P35" i="25"/>
  <c r="O35" i="25"/>
  <c r="N35" i="25"/>
  <c r="M35" i="25"/>
  <c r="L35" i="25"/>
  <c r="J35" i="25"/>
  <c r="I35" i="25"/>
  <c r="I77" i="25" s="1"/>
  <c r="H35" i="25"/>
  <c r="G35" i="25"/>
  <c r="F35" i="25"/>
  <c r="E35" i="25"/>
  <c r="D35" i="25"/>
  <c r="S34" i="25"/>
  <c r="R34" i="25"/>
  <c r="Q34" i="25"/>
  <c r="T34" i="25" s="1"/>
  <c r="P34" i="25"/>
  <c r="O34" i="25"/>
  <c r="N34" i="25"/>
  <c r="M34" i="25"/>
  <c r="L34" i="25"/>
  <c r="J34" i="25"/>
  <c r="I34" i="25"/>
  <c r="H34" i="25"/>
  <c r="G34" i="25"/>
  <c r="F34" i="25"/>
  <c r="E34" i="25"/>
  <c r="D34" i="25"/>
  <c r="S33" i="25"/>
  <c r="R33" i="25"/>
  <c r="Q33" i="25"/>
  <c r="T33" i="25" s="1"/>
  <c r="P33" i="25"/>
  <c r="O33" i="25"/>
  <c r="N33" i="25"/>
  <c r="M33" i="25"/>
  <c r="L33" i="25"/>
  <c r="J33" i="25"/>
  <c r="I33" i="25"/>
  <c r="H33" i="25"/>
  <c r="G33" i="25"/>
  <c r="F33" i="25"/>
  <c r="E33" i="25"/>
  <c r="D33" i="25"/>
  <c r="S32" i="25"/>
  <c r="R32" i="25"/>
  <c r="Q32" i="25"/>
  <c r="T32" i="25" s="1"/>
  <c r="P32" i="25"/>
  <c r="O32" i="25"/>
  <c r="N32" i="25"/>
  <c r="M32" i="25"/>
  <c r="L32" i="25"/>
  <c r="J32" i="25"/>
  <c r="I32" i="25"/>
  <c r="H32" i="25"/>
  <c r="G32" i="25"/>
  <c r="F32" i="25"/>
  <c r="E32" i="25"/>
  <c r="D32" i="25"/>
  <c r="T31" i="25"/>
  <c r="Q31" i="25"/>
  <c r="P31" i="25"/>
  <c r="S31" i="25" s="1"/>
  <c r="O31" i="25"/>
  <c r="N31" i="25"/>
  <c r="M31" i="25"/>
  <c r="L31" i="25"/>
  <c r="J31" i="25"/>
  <c r="I31" i="25"/>
  <c r="H31" i="25"/>
  <c r="G31" i="25"/>
  <c r="F31" i="25"/>
  <c r="E31" i="25"/>
  <c r="D31" i="25"/>
  <c r="T30" i="25"/>
  <c r="Q30" i="25"/>
  <c r="P30" i="25"/>
  <c r="S30" i="25" s="1"/>
  <c r="O30" i="25"/>
  <c r="N30" i="25"/>
  <c r="M30" i="25"/>
  <c r="L30" i="25"/>
  <c r="J30" i="25"/>
  <c r="I30" i="25"/>
  <c r="H30" i="25"/>
  <c r="G30" i="25"/>
  <c r="F30" i="25"/>
  <c r="E30" i="25"/>
  <c r="D30" i="25"/>
  <c r="T29" i="25"/>
  <c r="Q29" i="25"/>
  <c r="P29" i="25"/>
  <c r="S29" i="25" s="1"/>
  <c r="O29" i="25"/>
  <c r="N29" i="25"/>
  <c r="M29" i="25"/>
  <c r="L29" i="25"/>
  <c r="J29" i="25"/>
  <c r="I29" i="25"/>
  <c r="H29" i="25"/>
  <c r="G29" i="25"/>
  <c r="F29" i="25"/>
  <c r="E29" i="25"/>
  <c r="D29" i="25"/>
  <c r="T28" i="25"/>
  <c r="Q28" i="25"/>
  <c r="P28" i="25"/>
  <c r="S28" i="25" s="1"/>
  <c r="O28" i="25"/>
  <c r="N28" i="25"/>
  <c r="M28" i="25"/>
  <c r="L28" i="25"/>
  <c r="J28" i="25"/>
  <c r="I28" i="25"/>
  <c r="H28" i="25"/>
  <c r="G28" i="25"/>
  <c r="F28" i="25"/>
  <c r="E28" i="25"/>
  <c r="D28" i="25"/>
  <c r="S27" i="25"/>
  <c r="R27" i="25"/>
  <c r="Q27" i="25"/>
  <c r="T27" i="25" s="1"/>
  <c r="P27" i="25"/>
  <c r="O27" i="25"/>
  <c r="N27" i="25"/>
  <c r="M27" i="25"/>
  <c r="L27" i="25"/>
  <c r="I27" i="25"/>
  <c r="H27" i="25"/>
  <c r="J27" i="25" s="1"/>
  <c r="G27" i="25"/>
  <c r="F27" i="25"/>
  <c r="E27" i="25"/>
  <c r="D27" i="25"/>
  <c r="S26" i="25"/>
  <c r="R26" i="25"/>
  <c r="Q26" i="25"/>
  <c r="T26" i="25" s="1"/>
  <c r="P26" i="25"/>
  <c r="O26" i="25"/>
  <c r="N26" i="25"/>
  <c r="M26" i="25"/>
  <c r="L26" i="25"/>
  <c r="I26" i="25"/>
  <c r="H26" i="25"/>
  <c r="J26" i="25" s="1"/>
  <c r="G26" i="25"/>
  <c r="F26" i="25"/>
  <c r="E26" i="25"/>
  <c r="D26" i="25"/>
  <c r="S25" i="25"/>
  <c r="R25" i="25"/>
  <c r="Q25" i="25"/>
  <c r="T25" i="25" s="1"/>
  <c r="P25" i="25"/>
  <c r="O25" i="25"/>
  <c r="N25" i="25"/>
  <c r="M25" i="25"/>
  <c r="L25" i="25"/>
  <c r="I25" i="25"/>
  <c r="H25" i="25"/>
  <c r="J25" i="25" s="1"/>
  <c r="G25" i="25"/>
  <c r="F25" i="25"/>
  <c r="E25" i="25"/>
  <c r="D25" i="25"/>
  <c r="S24" i="25"/>
  <c r="R24" i="25"/>
  <c r="Q24" i="25"/>
  <c r="T24" i="25" s="1"/>
  <c r="P24" i="25"/>
  <c r="O24" i="25"/>
  <c r="N24" i="25"/>
  <c r="M24" i="25"/>
  <c r="L24" i="25"/>
  <c r="I24" i="25"/>
  <c r="H24" i="25"/>
  <c r="J24" i="25" s="1"/>
  <c r="G24" i="25"/>
  <c r="F24" i="25"/>
  <c r="E24" i="25"/>
  <c r="D24" i="25"/>
  <c r="T23" i="25"/>
  <c r="Q23" i="25"/>
  <c r="P23" i="25"/>
  <c r="S23" i="25" s="1"/>
  <c r="O23" i="25"/>
  <c r="N23" i="25"/>
  <c r="M23" i="25"/>
  <c r="L23" i="25"/>
  <c r="I23" i="25"/>
  <c r="H23" i="25"/>
  <c r="J23" i="25" s="1"/>
  <c r="G23" i="25"/>
  <c r="F23" i="25"/>
  <c r="E23" i="25"/>
  <c r="D23" i="25"/>
  <c r="T22" i="25"/>
  <c r="Q22" i="25"/>
  <c r="P22" i="25"/>
  <c r="S22" i="25" s="1"/>
  <c r="O22" i="25"/>
  <c r="N22" i="25"/>
  <c r="M22" i="25"/>
  <c r="L22" i="25"/>
  <c r="I22" i="25"/>
  <c r="H22" i="25"/>
  <c r="J22" i="25" s="1"/>
  <c r="G22" i="25"/>
  <c r="F22" i="25"/>
  <c r="E22" i="25"/>
  <c r="D22" i="25"/>
  <c r="T21" i="25"/>
  <c r="Q21" i="25"/>
  <c r="P21" i="25"/>
  <c r="S21" i="25" s="1"/>
  <c r="O21" i="25"/>
  <c r="N21" i="25"/>
  <c r="M21" i="25"/>
  <c r="L21" i="25"/>
  <c r="I21" i="25"/>
  <c r="H21" i="25"/>
  <c r="J21" i="25" s="1"/>
  <c r="G21" i="25"/>
  <c r="F21" i="25"/>
  <c r="E21" i="25"/>
  <c r="D21" i="25"/>
  <c r="T20" i="25"/>
  <c r="Q20" i="25"/>
  <c r="P20" i="25"/>
  <c r="S20" i="25" s="1"/>
  <c r="O20" i="25"/>
  <c r="N20" i="25"/>
  <c r="M20" i="25"/>
  <c r="L20" i="25"/>
  <c r="I20" i="25"/>
  <c r="H20" i="25"/>
  <c r="J20" i="25" s="1"/>
  <c r="G20" i="25"/>
  <c r="F20" i="25"/>
  <c r="E20" i="25"/>
  <c r="D20" i="25"/>
  <c r="S19" i="25"/>
  <c r="S76" i="25" s="1"/>
  <c r="R19" i="25"/>
  <c r="Q19" i="25"/>
  <c r="P19" i="25"/>
  <c r="O19" i="25"/>
  <c r="N19" i="25"/>
  <c r="M19" i="25"/>
  <c r="L19" i="25"/>
  <c r="J19" i="25"/>
  <c r="I19" i="25"/>
  <c r="I76" i="25" s="1"/>
  <c r="H19" i="25"/>
  <c r="G19" i="25"/>
  <c r="F19" i="25"/>
  <c r="E19" i="25"/>
  <c r="D19" i="25"/>
  <c r="S18" i="25"/>
  <c r="R18" i="25"/>
  <c r="Q18" i="25"/>
  <c r="P18" i="25"/>
  <c r="O18" i="25"/>
  <c r="N18" i="25"/>
  <c r="M18" i="25"/>
  <c r="L18" i="25"/>
  <c r="J18" i="25"/>
  <c r="I18" i="25"/>
  <c r="T18" i="25" s="1"/>
  <c r="H18" i="25"/>
  <c r="G18" i="25"/>
  <c r="F18" i="25"/>
  <c r="E18" i="25"/>
  <c r="D18" i="25"/>
  <c r="S17" i="25"/>
  <c r="R17" i="25"/>
  <c r="Q17" i="25"/>
  <c r="P17" i="25"/>
  <c r="O17" i="25"/>
  <c r="N17" i="25"/>
  <c r="M17" i="25"/>
  <c r="L17" i="25"/>
  <c r="J17" i="25"/>
  <c r="I17" i="25"/>
  <c r="T17" i="25" s="1"/>
  <c r="H17" i="25"/>
  <c r="G17" i="25"/>
  <c r="F17" i="25"/>
  <c r="E17" i="25"/>
  <c r="D17" i="25"/>
  <c r="S16" i="25"/>
  <c r="R16" i="25"/>
  <c r="Q16" i="25"/>
  <c r="P16" i="25"/>
  <c r="O16" i="25"/>
  <c r="N16" i="25"/>
  <c r="M16" i="25"/>
  <c r="L16" i="25"/>
  <c r="J16" i="25"/>
  <c r="I16" i="25"/>
  <c r="T16" i="25" s="1"/>
  <c r="H16" i="25"/>
  <c r="G16" i="25"/>
  <c r="F16" i="25"/>
  <c r="E16" i="25"/>
  <c r="D16" i="25"/>
  <c r="S15" i="25"/>
  <c r="Q15" i="25"/>
  <c r="T15" i="25" s="1"/>
  <c r="P15" i="25"/>
  <c r="R15" i="25" s="1"/>
  <c r="O15" i="25"/>
  <c r="N15" i="25"/>
  <c r="M15" i="25"/>
  <c r="L15" i="25"/>
  <c r="I15" i="25"/>
  <c r="H15" i="25"/>
  <c r="J15" i="25" s="1"/>
  <c r="G15" i="25"/>
  <c r="F15" i="25"/>
  <c r="E15" i="25"/>
  <c r="D15" i="25"/>
  <c r="S14" i="25"/>
  <c r="Q14" i="25"/>
  <c r="T14" i="25" s="1"/>
  <c r="P14" i="25"/>
  <c r="R14" i="25" s="1"/>
  <c r="O14" i="25"/>
  <c r="N14" i="25"/>
  <c r="M14" i="25"/>
  <c r="L14" i="25"/>
  <c r="I14" i="25"/>
  <c r="H14" i="25"/>
  <c r="J14" i="25" s="1"/>
  <c r="G14" i="25"/>
  <c r="F14" i="25"/>
  <c r="E14" i="25"/>
  <c r="D14" i="25"/>
  <c r="S13" i="25"/>
  <c r="Q13" i="25"/>
  <c r="T13" i="25" s="1"/>
  <c r="P13" i="25"/>
  <c r="R13" i="25" s="1"/>
  <c r="O13" i="25"/>
  <c r="N13" i="25"/>
  <c r="M13" i="25"/>
  <c r="L13" i="25"/>
  <c r="I13" i="25"/>
  <c r="H13" i="25"/>
  <c r="J13" i="25" s="1"/>
  <c r="G13" i="25"/>
  <c r="F13" i="25"/>
  <c r="E13" i="25"/>
  <c r="D13" i="25"/>
  <c r="S12" i="25"/>
  <c r="Q12" i="25"/>
  <c r="T12" i="25" s="1"/>
  <c r="P12" i="25"/>
  <c r="R12" i="25" s="1"/>
  <c r="O12" i="25"/>
  <c r="N12" i="25"/>
  <c r="M12" i="25"/>
  <c r="L12" i="25"/>
  <c r="I12" i="25"/>
  <c r="H12" i="25"/>
  <c r="J12" i="25" s="1"/>
  <c r="G12" i="25"/>
  <c r="F12" i="25"/>
  <c r="E12" i="25"/>
  <c r="D12" i="25"/>
  <c r="R11" i="25"/>
  <c r="Q11" i="25"/>
  <c r="P11" i="25"/>
  <c r="O11" i="25"/>
  <c r="N11" i="25"/>
  <c r="M11" i="25"/>
  <c r="L11" i="25"/>
  <c r="I11" i="25"/>
  <c r="T11" i="25" s="1"/>
  <c r="H11" i="25"/>
  <c r="J11" i="25" s="1"/>
  <c r="G11" i="25"/>
  <c r="F11" i="25"/>
  <c r="E11" i="25"/>
  <c r="D11" i="25"/>
  <c r="R10" i="25"/>
  <c r="Q10" i="25"/>
  <c r="P10" i="25"/>
  <c r="O10" i="25"/>
  <c r="N10" i="25"/>
  <c r="M10" i="25"/>
  <c r="L10" i="25"/>
  <c r="I10" i="25"/>
  <c r="T10" i="25" s="1"/>
  <c r="H10" i="25"/>
  <c r="J10" i="25" s="1"/>
  <c r="G10" i="25"/>
  <c r="F10" i="25"/>
  <c r="E10" i="25"/>
  <c r="D10" i="25"/>
  <c r="R9" i="25"/>
  <c r="Q9" i="25"/>
  <c r="P9" i="25"/>
  <c r="O9" i="25"/>
  <c r="N9" i="25"/>
  <c r="M9" i="25"/>
  <c r="L9" i="25"/>
  <c r="I9" i="25"/>
  <c r="T9" i="25" s="1"/>
  <c r="H9" i="25"/>
  <c r="J9" i="25" s="1"/>
  <c r="G9" i="25"/>
  <c r="F9" i="25"/>
  <c r="E9" i="25"/>
  <c r="D9" i="25"/>
  <c r="R8" i="25"/>
  <c r="Q8" i="25"/>
  <c r="P8" i="25"/>
  <c r="O8" i="25"/>
  <c r="N8" i="25"/>
  <c r="M8" i="25"/>
  <c r="L8" i="25"/>
  <c r="I8" i="25"/>
  <c r="T8" i="25" s="1"/>
  <c r="H8" i="25"/>
  <c r="J8" i="25" s="1"/>
  <c r="G8" i="25"/>
  <c r="F8" i="25"/>
  <c r="E8" i="25"/>
  <c r="D8" i="25"/>
  <c r="T7" i="25"/>
  <c r="Q7" i="25"/>
  <c r="P7" i="25"/>
  <c r="S7" i="25" s="1"/>
  <c r="O7" i="25"/>
  <c r="N7" i="25"/>
  <c r="M7" i="25"/>
  <c r="L7" i="25"/>
  <c r="J7" i="25"/>
  <c r="I7" i="25"/>
  <c r="H7" i="25"/>
  <c r="G7" i="25"/>
  <c r="F7" i="25"/>
  <c r="E7" i="25"/>
  <c r="D7" i="25"/>
  <c r="T6" i="25"/>
  <c r="Q6" i="25"/>
  <c r="P6" i="25"/>
  <c r="S6" i="25" s="1"/>
  <c r="O6" i="25"/>
  <c r="N6" i="25"/>
  <c r="M6" i="25"/>
  <c r="L6" i="25"/>
  <c r="J6" i="25"/>
  <c r="I6" i="25"/>
  <c r="H6" i="25"/>
  <c r="G6" i="25"/>
  <c r="F6" i="25"/>
  <c r="E6" i="25"/>
  <c r="D6" i="25"/>
  <c r="T5" i="25"/>
  <c r="Q5" i="25"/>
  <c r="P5" i="25"/>
  <c r="S5" i="25" s="1"/>
  <c r="O5" i="25"/>
  <c r="N5" i="25"/>
  <c r="M5" i="25"/>
  <c r="L5" i="25"/>
  <c r="J5" i="25"/>
  <c r="I5" i="25"/>
  <c r="H5" i="25"/>
  <c r="G5" i="25"/>
  <c r="F5" i="25"/>
  <c r="E5" i="25"/>
  <c r="D5" i="25"/>
  <c r="T4" i="25"/>
  <c r="Q4" i="25"/>
  <c r="P4" i="25"/>
  <c r="S4" i="25" s="1"/>
  <c r="O4" i="25"/>
  <c r="N4" i="25"/>
  <c r="M4" i="25"/>
  <c r="L4" i="25"/>
  <c r="J4" i="25"/>
  <c r="I4" i="25"/>
  <c r="H4" i="25"/>
  <c r="G4" i="25"/>
  <c r="F4" i="25"/>
  <c r="E4" i="25"/>
  <c r="D4" i="25"/>
  <c r="S3" i="25"/>
  <c r="S80" i="25" s="1"/>
  <c r="M54" i="30" s="1"/>
  <c r="R3" i="25"/>
  <c r="Q3" i="25"/>
  <c r="T3" i="25" s="1"/>
  <c r="P3" i="25"/>
  <c r="O3" i="25"/>
  <c r="N3" i="25"/>
  <c r="M3" i="25"/>
  <c r="L3" i="25"/>
  <c r="J3" i="25"/>
  <c r="I3" i="25"/>
  <c r="I75" i="25" s="1"/>
  <c r="H3" i="25"/>
  <c r="G3" i="25"/>
  <c r="F3" i="25"/>
  <c r="E3" i="25"/>
  <c r="D3" i="25"/>
  <c r="Q74" i="20"/>
  <c r="T74" i="20" s="1"/>
  <c r="P74" i="20"/>
  <c r="R74" i="20" s="1"/>
  <c r="O74" i="20"/>
  <c r="N74" i="20"/>
  <c r="M74" i="20"/>
  <c r="L74" i="20"/>
  <c r="S73" i="20"/>
  <c r="Q73" i="20"/>
  <c r="P73" i="20"/>
  <c r="R73" i="20" s="1"/>
  <c r="O73" i="20"/>
  <c r="N73" i="20"/>
  <c r="M73" i="20"/>
  <c r="L73" i="20"/>
  <c r="Q72" i="20"/>
  <c r="T72" i="20" s="1"/>
  <c r="P72" i="20"/>
  <c r="R72" i="20" s="1"/>
  <c r="O72" i="20"/>
  <c r="N72" i="20"/>
  <c r="M72" i="20"/>
  <c r="L72" i="20"/>
  <c r="R71" i="20"/>
  <c r="Q71" i="20"/>
  <c r="T71" i="20" s="1"/>
  <c r="G50" i="30" s="1"/>
  <c r="P71" i="20"/>
  <c r="O71" i="20"/>
  <c r="N71" i="20"/>
  <c r="M71" i="20"/>
  <c r="L71" i="20"/>
  <c r="Q70" i="20"/>
  <c r="P70" i="20"/>
  <c r="R70" i="20" s="1"/>
  <c r="O70" i="20"/>
  <c r="N70" i="20"/>
  <c r="M70" i="20"/>
  <c r="L70" i="20"/>
  <c r="T70" i="20"/>
  <c r="R69" i="20"/>
  <c r="Q69" i="20"/>
  <c r="T69" i="20" s="1"/>
  <c r="P69" i="20"/>
  <c r="O69" i="20"/>
  <c r="N69" i="20"/>
  <c r="M69" i="20"/>
  <c r="L69" i="20"/>
  <c r="Q68" i="20"/>
  <c r="P68" i="20"/>
  <c r="O68" i="20"/>
  <c r="N68" i="20"/>
  <c r="M68" i="20"/>
  <c r="L68" i="20"/>
  <c r="Q67" i="20"/>
  <c r="T67" i="20" s="1"/>
  <c r="G49" i="30" s="1"/>
  <c r="P67" i="20"/>
  <c r="S67" i="20" s="1"/>
  <c r="O67" i="20"/>
  <c r="N67" i="20"/>
  <c r="M67" i="20"/>
  <c r="L67" i="20"/>
  <c r="Q66" i="20"/>
  <c r="T66" i="20" s="1"/>
  <c r="P66" i="20"/>
  <c r="O66" i="20"/>
  <c r="N66" i="20"/>
  <c r="M66" i="20"/>
  <c r="L66" i="20"/>
  <c r="Q65" i="20"/>
  <c r="P65" i="20"/>
  <c r="S65" i="20" s="1"/>
  <c r="O65" i="20"/>
  <c r="N65" i="20"/>
  <c r="M65" i="20"/>
  <c r="L65" i="20"/>
  <c r="Q64" i="20"/>
  <c r="T64" i="20" s="1"/>
  <c r="P64" i="20"/>
  <c r="O64" i="20"/>
  <c r="N64" i="20"/>
  <c r="M64" i="20"/>
  <c r="L64" i="20"/>
  <c r="Q63" i="20"/>
  <c r="T63" i="20" s="1"/>
  <c r="P63" i="20"/>
  <c r="S63" i="20" s="1"/>
  <c r="F48" i="30" s="1"/>
  <c r="O63" i="20"/>
  <c r="N63" i="20"/>
  <c r="M63" i="20"/>
  <c r="L63" i="20"/>
  <c r="Q62" i="20"/>
  <c r="T62" i="20" s="1"/>
  <c r="P62" i="20"/>
  <c r="S62" i="20" s="1"/>
  <c r="O62" i="20"/>
  <c r="N62" i="20"/>
  <c r="M62" i="20"/>
  <c r="L62" i="20"/>
  <c r="S61" i="20"/>
  <c r="Q61" i="20"/>
  <c r="P61" i="20"/>
  <c r="R61" i="20" s="1"/>
  <c r="O61" i="20"/>
  <c r="N61" i="20"/>
  <c r="M61" i="20"/>
  <c r="L61" i="20"/>
  <c r="Q60" i="20"/>
  <c r="P60" i="20"/>
  <c r="S60" i="20" s="1"/>
  <c r="O60" i="20"/>
  <c r="N60" i="20"/>
  <c r="M60" i="20"/>
  <c r="L60" i="20"/>
  <c r="T59" i="20"/>
  <c r="T79" i="20" s="1"/>
  <c r="G56" i="30" s="1"/>
  <c r="Q59" i="20"/>
  <c r="P59" i="20"/>
  <c r="O59" i="20"/>
  <c r="N59" i="20"/>
  <c r="M59" i="20"/>
  <c r="L59" i="20"/>
  <c r="Q58" i="20"/>
  <c r="T58" i="20" s="1"/>
  <c r="P58" i="20"/>
  <c r="S58" i="20" s="1"/>
  <c r="O58" i="20"/>
  <c r="N58" i="20"/>
  <c r="M58" i="20"/>
  <c r="L58" i="20"/>
  <c r="Q57" i="20"/>
  <c r="T57" i="20" s="1"/>
  <c r="P57" i="20"/>
  <c r="S57" i="20" s="1"/>
  <c r="O57" i="20"/>
  <c r="N57" i="20"/>
  <c r="M57" i="20"/>
  <c r="L57" i="20"/>
  <c r="Q56" i="20"/>
  <c r="T56" i="20" s="1"/>
  <c r="P56" i="20"/>
  <c r="S56" i="20" s="1"/>
  <c r="O56" i="20"/>
  <c r="N56" i="20"/>
  <c r="M56" i="20"/>
  <c r="L56" i="20"/>
  <c r="Q55" i="20"/>
  <c r="T55" i="20" s="1"/>
  <c r="P55" i="20"/>
  <c r="O55" i="20"/>
  <c r="N55" i="20"/>
  <c r="M55" i="20"/>
  <c r="L55" i="20"/>
  <c r="Q54" i="20"/>
  <c r="T54" i="20" s="1"/>
  <c r="P54" i="20"/>
  <c r="R54" i="20" s="1"/>
  <c r="O54" i="20"/>
  <c r="N54" i="20"/>
  <c r="M54" i="20"/>
  <c r="L54" i="20"/>
  <c r="Q53" i="20"/>
  <c r="T53" i="20" s="1"/>
  <c r="P53" i="20"/>
  <c r="S53" i="20" s="1"/>
  <c r="O53" i="20"/>
  <c r="N53" i="20"/>
  <c r="M53" i="20"/>
  <c r="L53" i="20"/>
  <c r="R52" i="20"/>
  <c r="Q52" i="20"/>
  <c r="P52" i="20"/>
  <c r="O52" i="20"/>
  <c r="N52" i="20"/>
  <c r="M52" i="20"/>
  <c r="L52" i="20"/>
  <c r="Q51" i="20"/>
  <c r="T51" i="20" s="1"/>
  <c r="P51" i="20"/>
  <c r="O51" i="20"/>
  <c r="N51" i="20"/>
  <c r="M51" i="20"/>
  <c r="L51" i="20"/>
  <c r="Q50" i="20"/>
  <c r="T50" i="20" s="1"/>
  <c r="P50" i="20"/>
  <c r="S50" i="20" s="1"/>
  <c r="O50" i="20"/>
  <c r="N50" i="20"/>
  <c r="M50" i="20"/>
  <c r="L50" i="20"/>
  <c r="T49" i="20"/>
  <c r="Q49" i="20"/>
  <c r="P49" i="20"/>
  <c r="S49" i="20" s="1"/>
  <c r="O49" i="20"/>
  <c r="N49" i="20"/>
  <c r="M49" i="20"/>
  <c r="L49" i="20"/>
  <c r="Q48" i="20"/>
  <c r="T48" i="20" s="1"/>
  <c r="P48" i="20"/>
  <c r="S48" i="20" s="1"/>
  <c r="O48" i="20"/>
  <c r="N48" i="20"/>
  <c r="M48" i="20"/>
  <c r="L48" i="20"/>
  <c r="Q47" i="20"/>
  <c r="T47" i="20" s="1"/>
  <c r="P47" i="20"/>
  <c r="O47" i="20"/>
  <c r="N47" i="20"/>
  <c r="M47" i="20"/>
  <c r="L47" i="20"/>
  <c r="S46" i="20"/>
  <c r="R46" i="20"/>
  <c r="Q46" i="20"/>
  <c r="T46" i="20" s="1"/>
  <c r="S45" i="20"/>
  <c r="F43" i="30" s="1"/>
  <c r="R45" i="20"/>
  <c r="Q45" i="20"/>
  <c r="S44" i="20"/>
  <c r="R44" i="20"/>
  <c r="Q44" i="20"/>
  <c r="T44" i="20" s="1"/>
  <c r="S43" i="20"/>
  <c r="R43" i="20"/>
  <c r="Q43" i="20"/>
  <c r="Q42" i="20"/>
  <c r="T42" i="20" s="1"/>
  <c r="P42" i="20"/>
  <c r="S42" i="20" s="1"/>
  <c r="O42" i="20"/>
  <c r="N42" i="20"/>
  <c r="M42" i="20"/>
  <c r="L42" i="20"/>
  <c r="Q41" i="20"/>
  <c r="T41" i="20" s="1"/>
  <c r="P41" i="20"/>
  <c r="S41" i="20" s="1"/>
  <c r="O41" i="20"/>
  <c r="N41" i="20"/>
  <c r="M41" i="20"/>
  <c r="L41" i="20"/>
  <c r="Q40" i="20"/>
  <c r="P40" i="20"/>
  <c r="S40" i="20" s="1"/>
  <c r="O40" i="20"/>
  <c r="N40" i="20"/>
  <c r="M40" i="20"/>
  <c r="L40" i="20"/>
  <c r="R39" i="20"/>
  <c r="Q39" i="20"/>
  <c r="T39" i="20" s="1"/>
  <c r="P39" i="20"/>
  <c r="O39" i="20"/>
  <c r="N39" i="20"/>
  <c r="M39" i="20"/>
  <c r="L39" i="20"/>
  <c r="Q38" i="20"/>
  <c r="T38" i="20" s="1"/>
  <c r="P38" i="20"/>
  <c r="S38" i="20" s="1"/>
  <c r="O38" i="20"/>
  <c r="N38" i="20"/>
  <c r="M38" i="20"/>
  <c r="L38" i="20"/>
  <c r="R37" i="20"/>
  <c r="Q37" i="20"/>
  <c r="T37" i="20" s="1"/>
  <c r="P37" i="20"/>
  <c r="S37" i="20" s="1"/>
  <c r="O37" i="20"/>
  <c r="N37" i="20"/>
  <c r="M37" i="20"/>
  <c r="L37" i="20"/>
  <c r="Q36" i="20"/>
  <c r="T36" i="20" s="1"/>
  <c r="P36" i="20"/>
  <c r="S36" i="20" s="1"/>
  <c r="O36" i="20"/>
  <c r="N36" i="20"/>
  <c r="M36" i="20"/>
  <c r="L36" i="20"/>
  <c r="Q35" i="20"/>
  <c r="T35" i="20" s="1"/>
  <c r="P35" i="20"/>
  <c r="S35" i="20" s="1"/>
  <c r="O35" i="20"/>
  <c r="N35" i="20"/>
  <c r="M35" i="20"/>
  <c r="L35" i="20"/>
  <c r="Q34" i="20"/>
  <c r="T34" i="20" s="1"/>
  <c r="P34" i="20"/>
  <c r="S34" i="20" s="1"/>
  <c r="O34" i="20"/>
  <c r="N34" i="20"/>
  <c r="M34" i="20"/>
  <c r="L34" i="20"/>
  <c r="Q33" i="20"/>
  <c r="T33" i="20" s="1"/>
  <c r="P33" i="20"/>
  <c r="S33" i="20" s="1"/>
  <c r="O33" i="20"/>
  <c r="N33" i="20"/>
  <c r="M33" i="20"/>
  <c r="L33" i="20"/>
  <c r="Q32" i="20"/>
  <c r="T32" i="20" s="1"/>
  <c r="P32" i="20"/>
  <c r="S32" i="20" s="1"/>
  <c r="O32" i="20"/>
  <c r="N32" i="20"/>
  <c r="M32" i="20"/>
  <c r="L32" i="20"/>
  <c r="R31" i="20"/>
  <c r="Q31" i="20"/>
  <c r="T31" i="20" s="1"/>
  <c r="G40" i="30" s="1"/>
  <c r="P31" i="20"/>
  <c r="S31" i="20" s="1"/>
  <c r="F40" i="30" s="1"/>
  <c r="O31" i="20"/>
  <c r="N31" i="20"/>
  <c r="M31" i="20"/>
  <c r="L31" i="20"/>
  <c r="Q30" i="20"/>
  <c r="T30" i="20" s="1"/>
  <c r="P30" i="20"/>
  <c r="R30" i="20" s="1"/>
  <c r="O30" i="20"/>
  <c r="N30" i="20"/>
  <c r="M30" i="20"/>
  <c r="L30" i="20"/>
  <c r="Q29" i="20"/>
  <c r="P29" i="20"/>
  <c r="S29" i="20" s="1"/>
  <c r="O29" i="20"/>
  <c r="N29" i="20"/>
  <c r="M29" i="20"/>
  <c r="L29" i="20"/>
  <c r="Q28" i="20"/>
  <c r="T28" i="20" s="1"/>
  <c r="P28" i="20"/>
  <c r="R28" i="20" s="1"/>
  <c r="O28" i="20"/>
  <c r="N28" i="20"/>
  <c r="M28" i="20"/>
  <c r="L28" i="20"/>
  <c r="Q27" i="20"/>
  <c r="T27" i="20" s="1"/>
  <c r="P27" i="20"/>
  <c r="R27" i="20" s="1"/>
  <c r="O27" i="20"/>
  <c r="N27" i="20"/>
  <c r="M27" i="20"/>
  <c r="L27" i="20"/>
  <c r="Q26" i="20"/>
  <c r="T26" i="20" s="1"/>
  <c r="P26" i="20"/>
  <c r="R26" i="20" s="1"/>
  <c r="O26" i="20"/>
  <c r="N26" i="20"/>
  <c r="M26" i="20"/>
  <c r="L26" i="20"/>
  <c r="Q25" i="20"/>
  <c r="T25" i="20" s="1"/>
  <c r="P25" i="20"/>
  <c r="R25" i="20" s="1"/>
  <c r="O25" i="20"/>
  <c r="N25" i="20"/>
  <c r="M25" i="20"/>
  <c r="L25" i="20"/>
  <c r="Q24" i="20"/>
  <c r="P24" i="20"/>
  <c r="R24" i="20" s="1"/>
  <c r="O24" i="20"/>
  <c r="N24" i="20"/>
  <c r="M24" i="20"/>
  <c r="L24" i="20"/>
  <c r="Q23" i="20"/>
  <c r="T23" i="20" s="1"/>
  <c r="P23" i="20"/>
  <c r="R23" i="20" s="1"/>
  <c r="O23" i="20"/>
  <c r="N23" i="20"/>
  <c r="M23" i="20"/>
  <c r="L23" i="20"/>
  <c r="Q22" i="20"/>
  <c r="T22" i="20" s="1"/>
  <c r="P22" i="20"/>
  <c r="S22" i="20" s="1"/>
  <c r="O22" i="20"/>
  <c r="N22" i="20"/>
  <c r="M22" i="20"/>
  <c r="L22" i="20"/>
  <c r="Q21" i="20"/>
  <c r="T21" i="20" s="1"/>
  <c r="P21" i="20"/>
  <c r="S21" i="20" s="1"/>
  <c r="O21" i="20"/>
  <c r="N21" i="20"/>
  <c r="M21" i="20"/>
  <c r="L21" i="20"/>
  <c r="Q20" i="20"/>
  <c r="T20" i="20" s="1"/>
  <c r="P20" i="20"/>
  <c r="R20" i="20" s="1"/>
  <c r="O20" i="20"/>
  <c r="N20" i="20"/>
  <c r="M20" i="20"/>
  <c r="L20" i="20"/>
  <c r="Q19" i="20"/>
  <c r="T19" i="20" s="1"/>
  <c r="P19" i="20"/>
  <c r="S19" i="20" s="1"/>
  <c r="O19" i="20"/>
  <c r="N19" i="20"/>
  <c r="M19" i="20"/>
  <c r="L19" i="20"/>
  <c r="Q18" i="20"/>
  <c r="T18" i="20" s="1"/>
  <c r="P18" i="20"/>
  <c r="S18" i="20" s="1"/>
  <c r="O18" i="20"/>
  <c r="N18" i="20"/>
  <c r="M18" i="20"/>
  <c r="L18" i="20"/>
  <c r="Q17" i="20"/>
  <c r="P17" i="20"/>
  <c r="S17" i="20" s="1"/>
  <c r="O17" i="20"/>
  <c r="N17" i="20"/>
  <c r="M17" i="20"/>
  <c r="L17" i="20"/>
  <c r="T16" i="20"/>
  <c r="Q16" i="20"/>
  <c r="P16" i="20"/>
  <c r="S16" i="20" s="1"/>
  <c r="O16" i="20"/>
  <c r="N16" i="20"/>
  <c r="M16" i="20"/>
  <c r="L16" i="20"/>
  <c r="Q15" i="20"/>
  <c r="T15" i="20" s="1"/>
  <c r="P15" i="20"/>
  <c r="O15" i="20"/>
  <c r="N15" i="20"/>
  <c r="M15" i="20"/>
  <c r="L15" i="20"/>
  <c r="Q14" i="20"/>
  <c r="T14" i="20" s="1"/>
  <c r="P14" i="20"/>
  <c r="R14" i="20" s="1"/>
  <c r="O14" i="20"/>
  <c r="N14" i="20"/>
  <c r="M14" i="20"/>
  <c r="L14" i="20"/>
  <c r="Q13" i="20"/>
  <c r="T13" i="20" s="1"/>
  <c r="P13" i="20"/>
  <c r="S13" i="20" s="1"/>
  <c r="O13" i="20"/>
  <c r="N13" i="20"/>
  <c r="M13" i="20"/>
  <c r="L13" i="20"/>
  <c r="Q12" i="20"/>
  <c r="T12" i="20" s="1"/>
  <c r="P12" i="20"/>
  <c r="S12" i="20" s="1"/>
  <c r="O12" i="20"/>
  <c r="N12" i="20"/>
  <c r="M12" i="20"/>
  <c r="L12" i="20"/>
  <c r="Q11" i="20"/>
  <c r="T11" i="20" s="1"/>
  <c r="P11" i="20"/>
  <c r="S11" i="20" s="1"/>
  <c r="O11" i="20"/>
  <c r="N11" i="20"/>
  <c r="M11" i="20"/>
  <c r="L11" i="20"/>
  <c r="Q10" i="20"/>
  <c r="T10" i="20" s="1"/>
  <c r="P10" i="20"/>
  <c r="S10" i="20" s="1"/>
  <c r="O10" i="20"/>
  <c r="N10" i="20"/>
  <c r="M10" i="20"/>
  <c r="L10" i="20"/>
  <c r="Q9" i="20"/>
  <c r="T9" i="20" s="1"/>
  <c r="P9" i="20"/>
  <c r="O9" i="20"/>
  <c r="N9" i="20"/>
  <c r="M9" i="20"/>
  <c r="L9" i="20"/>
  <c r="Q8" i="20"/>
  <c r="T8" i="20" s="1"/>
  <c r="G34" i="30" s="1"/>
  <c r="P8" i="20"/>
  <c r="O8" i="20"/>
  <c r="N8" i="20"/>
  <c r="M8" i="20"/>
  <c r="L8" i="20"/>
  <c r="Q7" i="20"/>
  <c r="T7" i="20" s="1"/>
  <c r="P7" i="20"/>
  <c r="S7" i="20" s="1"/>
  <c r="O7" i="20"/>
  <c r="N7" i="20"/>
  <c r="M7" i="20"/>
  <c r="L7" i="20"/>
  <c r="S6" i="20"/>
  <c r="R6" i="20"/>
  <c r="Q6" i="20"/>
  <c r="T6" i="20" s="1"/>
  <c r="P6" i="20"/>
  <c r="O6" i="20"/>
  <c r="N6" i="20"/>
  <c r="M6" i="20"/>
  <c r="L6" i="20"/>
  <c r="Q5" i="20"/>
  <c r="T5" i="20" s="1"/>
  <c r="P5" i="20"/>
  <c r="S5" i="20" s="1"/>
  <c r="O5" i="20"/>
  <c r="N5" i="20"/>
  <c r="M5" i="20"/>
  <c r="L5" i="20"/>
  <c r="R4" i="20"/>
  <c r="Q4" i="20"/>
  <c r="T4" i="20" s="1"/>
  <c r="P4" i="20"/>
  <c r="S4" i="20" s="1"/>
  <c r="O4" i="20"/>
  <c r="N4" i="20"/>
  <c r="M4" i="20"/>
  <c r="L4" i="20"/>
  <c r="Q3" i="20"/>
  <c r="T3" i="20" s="1"/>
  <c r="P3" i="20"/>
  <c r="S3" i="20" s="1"/>
  <c r="F33" i="30" s="1"/>
  <c r="O3" i="20"/>
  <c r="N3" i="20"/>
  <c r="M3" i="20"/>
  <c r="L3" i="20"/>
  <c r="I79" i="27"/>
  <c r="S74" i="27"/>
  <c r="R74" i="27"/>
  <c r="Q74" i="27"/>
  <c r="P74" i="27"/>
  <c r="O74" i="27"/>
  <c r="N74" i="27"/>
  <c r="M74" i="27"/>
  <c r="L74" i="27"/>
  <c r="J74" i="27"/>
  <c r="I74" i="27"/>
  <c r="T74" i="27" s="1"/>
  <c r="H74" i="27"/>
  <c r="G74" i="27"/>
  <c r="F74" i="27"/>
  <c r="E74" i="27"/>
  <c r="D74" i="27"/>
  <c r="S73" i="27"/>
  <c r="R73" i="27"/>
  <c r="Q73" i="27"/>
  <c r="P73" i="27"/>
  <c r="O73" i="27"/>
  <c r="N73" i="27"/>
  <c r="M73" i="27"/>
  <c r="L73" i="27"/>
  <c r="J73" i="27"/>
  <c r="I73" i="27"/>
  <c r="T73" i="27" s="1"/>
  <c r="H73" i="27"/>
  <c r="G73" i="27"/>
  <c r="F73" i="27"/>
  <c r="E73" i="27"/>
  <c r="D73" i="27"/>
  <c r="S72" i="27"/>
  <c r="R72" i="27"/>
  <c r="Q72" i="27"/>
  <c r="P72" i="27"/>
  <c r="O72" i="27"/>
  <c r="N72" i="27"/>
  <c r="M72" i="27"/>
  <c r="L72" i="27"/>
  <c r="J72" i="27"/>
  <c r="I72" i="27"/>
  <c r="T72" i="27" s="1"/>
  <c r="H72" i="27"/>
  <c r="G72" i="27"/>
  <c r="F72" i="27"/>
  <c r="E72" i="27"/>
  <c r="D72" i="27"/>
  <c r="T71" i="27"/>
  <c r="Q71" i="27"/>
  <c r="P71" i="27"/>
  <c r="S71" i="27" s="1"/>
  <c r="O71" i="27"/>
  <c r="N71" i="27"/>
  <c r="M71" i="27"/>
  <c r="L71" i="27"/>
  <c r="J71" i="27"/>
  <c r="I71" i="27"/>
  <c r="H71" i="27"/>
  <c r="G71" i="27"/>
  <c r="F71" i="27"/>
  <c r="E71" i="27"/>
  <c r="D71" i="27"/>
  <c r="T70" i="27"/>
  <c r="Q70" i="27"/>
  <c r="P70" i="27"/>
  <c r="S70" i="27" s="1"/>
  <c r="O70" i="27"/>
  <c r="N70" i="27"/>
  <c r="M70" i="27"/>
  <c r="L70" i="27"/>
  <c r="J70" i="27"/>
  <c r="I70" i="27"/>
  <c r="H70" i="27"/>
  <c r="G70" i="27"/>
  <c r="F70" i="27"/>
  <c r="E70" i="27"/>
  <c r="D70" i="27"/>
  <c r="T69" i="27"/>
  <c r="Q69" i="27"/>
  <c r="P69" i="27"/>
  <c r="S69" i="27" s="1"/>
  <c r="O69" i="27"/>
  <c r="N69" i="27"/>
  <c r="M69" i="27"/>
  <c r="L69" i="27"/>
  <c r="J69" i="27"/>
  <c r="I69" i="27"/>
  <c r="H69" i="27"/>
  <c r="G69" i="27"/>
  <c r="F69" i="27"/>
  <c r="E69" i="27"/>
  <c r="D69" i="27"/>
  <c r="T68" i="27"/>
  <c r="Q68" i="27"/>
  <c r="P68" i="27"/>
  <c r="S68" i="27" s="1"/>
  <c r="O68" i="27"/>
  <c r="N68" i="27"/>
  <c r="M68" i="27"/>
  <c r="L68" i="27"/>
  <c r="J68" i="27"/>
  <c r="I68" i="27"/>
  <c r="H68" i="27"/>
  <c r="G68" i="27"/>
  <c r="F68" i="27"/>
  <c r="E68" i="27"/>
  <c r="D68" i="27"/>
  <c r="R67" i="27"/>
  <c r="Q67" i="27"/>
  <c r="T67" i="27" s="1"/>
  <c r="P67" i="27"/>
  <c r="S67" i="27" s="1"/>
  <c r="O67" i="27"/>
  <c r="N67" i="27"/>
  <c r="M67" i="27"/>
  <c r="L67" i="27"/>
  <c r="J67" i="27"/>
  <c r="I67" i="27"/>
  <c r="H67" i="27"/>
  <c r="G67" i="27"/>
  <c r="F67" i="27"/>
  <c r="E67" i="27"/>
  <c r="D67" i="27"/>
  <c r="Q66" i="27"/>
  <c r="T66" i="27" s="1"/>
  <c r="P66" i="27"/>
  <c r="S66" i="27" s="1"/>
  <c r="O66" i="27"/>
  <c r="N66" i="27"/>
  <c r="M66" i="27"/>
  <c r="L66" i="27"/>
  <c r="J66" i="27"/>
  <c r="I66" i="27"/>
  <c r="H66" i="27"/>
  <c r="G66" i="27"/>
  <c r="F66" i="27"/>
  <c r="E66" i="27"/>
  <c r="D66" i="27"/>
  <c r="Q65" i="27"/>
  <c r="T65" i="27" s="1"/>
  <c r="P65" i="27"/>
  <c r="S65" i="27" s="1"/>
  <c r="O65" i="27"/>
  <c r="N65" i="27"/>
  <c r="M65" i="27"/>
  <c r="L65" i="27"/>
  <c r="J65" i="27"/>
  <c r="I65" i="27"/>
  <c r="H65" i="27"/>
  <c r="G65" i="27"/>
  <c r="F65" i="27"/>
  <c r="E65" i="27"/>
  <c r="D65" i="27"/>
  <c r="Q64" i="27"/>
  <c r="T64" i="27" s="1"/>
  <c r="P64" i="27"/>
  <c r="S64" i="27" s="1"/>
  <c r="O64" i="27"/>
  <c r="N64" i="27"/>
  <c r="M64" i="27"/>
  <c r="L64" i="27"/>
  <c r="J64" i="27"/>
  <c r="I64" i="27"/>
  <c r="H64" i="27"/>
  <c r="G64" i="27"/>
  <c r="F64" i="27"/>
  <c r="E64" i="27"/>
  <c r="D64" i="27"/>
  <c r="T63" i="27"/>
  <c r="Q63" i="27"/>
  <c r="P63" i="27"/>
  <c r="S63" i="27" s="1"/>
  <c r="O63" i="27"/>
  <c r="N63" i="27"/>
  <c r="M63" i="27"/>
  <c r="L63" i="27"/>
  <c r="J63" i="27"/>
  <c r="I63" i="27"/>
  <c r="H63" i="27"/>
  <c r="G63" i="27"/>
  <c r="F63" i="27"/>
  <c r="E63" i="27"/>
  <c r="D63" i="27"/>
  <c r="T62" i="27"/>
  <c r="Q62" i="27"/>
  <c r="P62" i="27"/>
  <c r="S62" i="27" s="1"/>
  <c r="O62" i="27"/>
  <c r="N62" i="27"/>
  <c r="M62" i="27"/>
  <c r="L62" i="27"/>
  <c r="J62" i="27"/>
  <c r="I62" i="27"/>
  <c r="H62" i="27"/>
  <c r="G62" i="27"/>
  <c r="F62" i="27"/>
  <c r="E62" i="27"/>
  <c r="D62" i="27"/>
  <c r="T61" i="27"/>
  <c r="Q61" i="27"/>
  <c r="P61" i="27"/>
  <c r="S61" i="27" s="1"/>
  <c r="O61" i="27"/>
  <c r="N61" i="27"/>
  <c r="M61" i="27"/>
  <c r="L61" i="27"/>
  <c r="J61" i="27"/>
  <c r="I61" i="27"/>
  <c r="H61" i="27"/>
  <c r="G61" i="27"/>
  <c r="F61" i="27"/>
  <c r="E61" i="27"/>
  <c r="D61" i="27"/>
  <c r="T60" i="27"/>
  <c r="Q60" i="27"/>
  <c r="P60" i="27"/>
  <c r="S60" i="27" s="1"/>
  <c r="O60" i="27"/>
  <c r="N60" i="27"/>
  <c r="M60" i="27"/>
  <c r="L60" i="27"/>
  <c r="J60" i="27"/>
  <c r="I60" i="27"/>
  <c r="H60" i="27"/>
  <c r="G60" i="27"/>
  <c r="F60" i="27"/>
  <c r="E60" i="27"/>
  <c r="D60" i="27"/>
  <c r="R59" i="27"/>
  <c r="Q59" i="27"/>
  <c r="T59" i="27" s="1"/>
  <c r="T79" i="27" s="1"/>
  <c r="G10" i="9" s="1"/>
  <c r="P59" i="27"/>
  <c r="S59" i="27" s="1"/>
  <c r="S79" i="27" s="1"/>
  <c r="O59" i="27"/>
  <c r="N59" i="27"/>
  <c r="M59" i="27"/>
  <c r="L59" i="27"/>
  <c r="J59" i="27"/>
  <c r="I59" i="27"/>
  <c r="H59" i="27"/>
  <c r="G59" i="27"/>
  <c r="F59" i="27"/>
  <c r="E59" i="27"/>
  <c r="D59" i="27"/>
  <c r="R58" i="27"/>
  <c r="Q58" i="27"/>
  <c r="T58" i="27" s="1"/>
  <c r="P58" i="27"/>
  <c r="S58" i="27" s="1"/>
  <c r="O58" i="27"/>
  <c r="N58" i="27"/>
  <c r="M58" i="27"/>
  <c r="L58" i="27"/>
  <c r="J58" i="27"/>
  <c r="I58" i="27"/>
  <c r="H58" i="27"/>
  <c r="G58" i="27"/>
  <c r="F58" i="27"/>
  <c r="E58" i="27"/>
  <c r="D58" i="27"/>
  <c r="R57" i="27"/>
  <c r="Q57" i="27"/>
  <c r="T57" i="27" s="1"/>
  <c r="P57" i="27"/>
  <c r="S57" i="27" s="1"/>
  <c r="O57" i="27"/>
  <c r="N57" i="27"/>
  <c r="M57" i="27"/>
  <c r="L57" i="27"/>
  <c r="J57" i="27"/>
  <c r="I57" i="27"/>
  <c r="H57" i="27"/>
  <c r="G57" i="27"/>
  <c r="F57" i="27"/>
  <c r="E57" i="27"/>
  <c r="D57" i="27"/>
  <c r="R56" i="27"/>
  <c r="Q56" i="27"/>
  <c r="T56" i="27" s="1"/>
  <c r="P56" i="27"/>
  <c r="S56" i="27" s="1"/>
  <c r="O56" i="27"/>
  <c r="N56" i="27"/>
  <c r="M56" i="27"/>
  <c r="L56" i="27"/>
  <c r="J56" i="27"/>
  <c r="I56" i="27"/>
  <c r="H56" i="27"/>
  <c r="G56" i="27"/>
  <c r="F56" i="27"/>
  <c r="E56" i="27"/>
  <c r="D56" i="27"/>
  <c r="S55" i="27"/>
  <c r="Q55" i="27"/>
  <c r="T55" i="27" s="1"/>
  <c r="P55" i="27"/>
  <c r="R55" i="27" s="1"/>
  <c r="O55" i="27"/>
  <c r="N55" i="27"/>
  <c r="M55" i="27"/>
  <c r="L55" i="27"/>
  <c r="I55" i="27"/>
  <c r="H55" i="27"/>
  <c r="J55" i="27" s="1"/>
  <c r="G55" i="27"/>
  <c r="F55" i="27"/>
  <c r="E55" i="27"/>
  <c r="D55" i="27"/>
  <c r="S54" i="27"/>
  <c r="Q54" i="27"/>
  <c r="T54" i="27" s="1"/>
  <c r="P54" i="27"/>
  <c r="R54" i="27" s="1"/>
  <c r="O54" i="27"/>
  <c r="N54" i="27"/>
  <c r="M54" i="27"/>
  <c r="L54" i="27"/>
  <c r="I54" i="27"/>
  <c r="H54" i="27"/>
  <c r="J54" i="27" s="1"/>
  <c r="G54" i="27"/>
  <c r="F54" i="27"/>
  <c r="E54" i="27"/>
  <c r="D54" i="27"/>
  <c r="S53" i="27"/>
  <c r="Q53" i="27"/>
  <c r="T53" i="27" s="1"/>
  <c r="P53" i="27"/>
  <c r="R53" i="27" s="1"/>
  <c r="O53" i="27"/>
  <c r="N53" i="27"/>
  <c r="M53" i="27"/>
  <c r="L53" i="27"/>
  <c r="I53" i="27"/>
  <c r="H53" i="27"/>
  <c r="J53" i="27" s="1"/>
  <c r="G53" i="27"/>
  <c r="F53" i="27"/>
  <c r="E53" i="27"/>
  <c r="D53" i="27"/>
  <c r="S52" i="27"/>
  <c r="Q52" i="27"/>
  <c r="T52" i="27" s="1"/>
  <c r="P52" i="27"/>
  <c r="R52" i="27" s="1"/>
  <c r="O52" i="27"/>
  <c r="N52" i="27"/>
  <c r="M52" i="27"/>
  <c r="L52" i="27"/>
  <c r="I52" i="27"/>
  <c r="H52" i="27"/>
  <c r="J52" i="27" s="1"/>
  <c r="G52" i="27"/>
  <c r="F52" i="27"/>
  <c r="E52" i="27"/>
  <c r="D52" i="27"/>
  <c r="R51" i="27"/>
  <c r="R78" i="27" s="1"/>
  <c r="Q51" i="27"/>
  <c r="T51" i="27" s="1"/>
  <c r="T78" i="27" s="1"/>
  <c r="P51" i="27"/>
  <c r="S51" i="27" s="1"/>
  <c r="S78" i="27" s="1"/>
  <c r="O51" i="27"/>
  <c r="N51" i="27"/>
  <c r="M51" i="27"/>
  <c r="L51" i="27"/>
  <c r="I51" i="27"/>
  <c r="I78" i="27" s="1"/>
  <c r="H51" i="27"/>
  <c r="J51" i="27" s="1"/>
  <c r="G51" i="27"/>
  <c r="F51" i="27"/>
  <c r="E51" i="27"/>
  <c r="D51" i="27"/>
  <c r="R50" i="27"/>
  <c r="Q50" i="27"/>
  <c r="T50" i="27" s="1"/>
  <c r="P50" i="27"/>
  <c r="S50" i="27" s="1"/>
  <c r="O50" i="27"/>
  <c r="N50" i="27"/>
  <c r="M50" i="27"/>
  <c r="L50" i="27"/>
  <c r="I50" i="27"/>
  <c r="H50" i="27"/>
  <c r="J50" i="27" s="1"/>
  <c r="G50" i="27"/>
  <c r="F50" i="27"/>
  <c r="E50" i="27"/>
  <c r="D50" i="27"/>
  <c r="R49" i="27"/>
  <c r="Q49" i="27"/>
  <c r="T49" i="27" s="1"/>
  <c r="P49" i="27"/>
  <c r="O49" i="27"/>
  <c r="N49" i="27"/>
  <c r="M49" i="27"/>
  <c r="L49" i="27"/>
  <c r="I49" i="27"/>
  <c r="H49" i="27"/>
  <c r="J49" i="27" s="1"/>
  <c r="G49" i="27"/>
  <c r="F49" i="27"/>
  <c r="E49" i="27"/>
  <c r="D49" i="27"/>
  <c r="R48" i="27"/>
  <c r="Q48" i="27"/>
  <c r="T48" i="27" s="1"/>
  <c r="P48" i="27"/>
  <c r="S48" i="27" s="1"/>
  <c r="O48" i="27"/>
  <c r="N48" i="27"/>
  <c r="M48" i="27"/>
  <c r="L48" i="27"/>
  <c r="I48" i="27"/>
  <c r="H48" i="27"/>
  <c r="J48" i="27" s="1"/>
  <c r="G48" i="27"/>
  <c r="F48" i="27"/>
  <c r="E48" i="27"/>
  <c r="D48" i="27"/>
  <c r="T47" i="27"/>
  <c r="S47" i="27"/>
  <c r="R47" i="27"/>
  <c r="Q47" i="27"/>
  <c r="P47" i="27"/>
  <c r="O47" i="27"/>
  <c r="N47" i="27"/>
  <c r="M47" i="27"/>
  <c r="L47" i="27"/>
  <c r="J47" i="27"/>
  <c r="I47" i="27"/>
  <c r="H47" i="27"/>
  <c r="G47" i="27"/>
  <c r="F47" i="27"/>
  <c r="E47" i="27"/>
  <c r="D47" i="27"/>
  <c r="S46" i="27"/>
  <c r="R46" i="27"/>
  <c r="Q46" i="27"/>
  <c r="P46" i="27"/>
  <c r="O46" i="27"/>
  <c r="N46" i="27"/>
  <c r="J46" i="27"/>
  <c r="I46" i="27"/>
  <c r="T46" i="27" s="1"/>
  <c r="H46" i="27"/>
  <c r="G46" i="27"/>
  <c r="F46" i="27"/>
  <c r="T45" i="27"/>
  <c r="Q45" i="27"/>
  <c r="P45" i="27"/>
  <c r="S45" i="27" s="1"/>
  <c r="O45" i="27"/>
  <c r="N45" i="27"/>
  <c r="I45" i="27"/>
  <c r="H45" i="27"/>
  <c r="J45" i="27" s="1"/>
  <c r="G45" i="27"/>
  <c r="F45" i="27"/>
  <c r="T44" i="27"/>
  <c r="Q44" i="27"/>
  <c r="P44" i="27"/>
  <c r="S44" i="27" s="1"/>
  <c r="O44" i="27"/>
  <c r="N44" i="27"/>
  <c r="I44" i="27"/>
  <c r="H44" i="27"/>
  <c r="J44" i="27" s="1"/>
  <c r="G44" i="27"/>
  <c r="F44" i="27"/>
  <c r="R43" i="27"/>
  <c r="Q43" i="27"/>
  <c r="T43" i="27" s="1"/>
  <c r="P43" i="27"/>
  <c r="S43" i="27" s="1"/>
  <c r="O43" i="27"/>
  <c r="N43" i="27"/>
  <c r="J43" i="27"/>
  <c r="I43" i="27"/>
  <c r="H43" i="27"/>
  <c r="G43" i="27"/>
  <c r="F43" i="27"/>
  <c r="R42" i="27"/>
  <c r="Q42" i="27"/>
  <c r="P42" i="27"/>
  <c r="O42" i="27"/>
  <c r="N42" i="27"/>
  <c r="M42" i="27"/>
  <c r="L42" i="27"/>
  <c r="I42" i="27"/>
  <c r="T42" i="27" s="1"/>
  <c r="H42" i="27"/>
  <c r="S42" i="27" s="1"/>
  <c r="G42" i="27"/>
  <c r="F42" i="27"/>
  <c r="E42" i="27"/>
  <c r="D42" i="27"/>
  <c r="R41" i="27"/>
  <c r="Q41" i="27"/>
  <c r="P41" i="27"/>
  <c r="O41" i="27"/>
  <c r="N41" i="27"/>
  <c r="M41" i="27"/>
  <c r="L41" i="27"/>
  <c r="I41" i="27"/>
  <c r="T41" i="27" s="1"/>
  <c r="H41" i="27"/>
  <c r="S41" i="27" s="1"/>
  <c r="G41" i="27"/>
  <c r="F41" i="27"/>
  <c r="E41" i="27"/>
  <c r="D41" i="27"/>
  <c r="R40" i="27"/>
  <c r="Q40" i="27"/>
  <c r="P40" i="27"/>
  <c r="O40" i="27"/>
  <c r="N40" i="27"/>
  <c r="M40" i="27"/>
  <c r="L40" i="27"/>
  <c r="I40" i="27"/>
  <c r="T40" i="27" s="1"/>
  <c r="H40" i="27"/>
  <c r="S40" i="27" s="1"/>
  <c r="G40" i="27"/>
  <c r="F40" i="27"/>
  <c r="E40" i="27"/>
  <c r="D40" i="27"/>
  <c r="T39" i="27"/>
  <c r="Q39" i="27"/>
  <c r="Q77" i="27" s="1"/>
  <c r="P39" i="27"/>
  <c r="S39" i="27" s="1"/>
  <c r="O39" i="27"/>
  <c r="N39" i="27"/>
  <c r="M39" i="27"/>
  <c r="L39" i="27"/>
  <c r="J39" i="27"/>
  <c r="I39" i="27"/>
  <c r="H39" i="27"/>
  <c r="G39" i="27"/>
  <c r="F39" i="27"/>
  <c r="E39" i="27"/>
  <c r="D39" i="27"/>
  <c r="R38" i="27"/>
  <c r="P38" i="27"/>
  <c r="S38" i="27" s="1"/>
  <c r="O38" i="27"/>
  <c r="N38" i="27"/>
  <c r="M38" i="27"/>
  <c r="L38" i="27"/>
  <c r="I38" i="27"/>
  <c r="H38" i="27"/>
  <c r="J38" i="27" s="1"/>
  <c r="G38" i="27"/>
  <c r="F38" i="27"/>
  <c r="E38" i="27"/>
  <c r="D38" i="27"/>
  <c r="T37" i="27"/>
  <c r="S37" i="27"/>
  <c r="P37" i="27"/>
  <c r="R37" i="27" s="1"/>
  <c r="O37" i="27"/>
  <c r="N37" i="27"/>
  <c r="M37" i="27"/>
  <c r="L37" i="27"/>
  <c r="J37" i="27"/>
  <c r="H37" i="27"/>
  <c r="G37" i="27"/>
  <c r="F37" i="27"/>
  <c r="E37" i="27"/>
  <c r="D37" i="27"/>
  <c r="T36" i="27"/>
  <c r="P36" i="27"/>
  <c r="S36" i="27" s="1"/>
  <c r="O36" i="27"/>
  <c r="N36" i="27"/>
  <c r="M36" i="27"/>
  <c r="L36" i="27"/>
  <c r="J36" i="27"/>
  <c r="H36" i="27"/>
  <c r="G36" i="27"/>
  <c r="F36" i="27"/>
  <c r="E36" i="27"/>
  <c r="D36" i="27"/>
  <c r="T35" i="27"/>
  <c r="T77" i="27" s="1"/>
  <c r="P35" i="27"/>
  <c r="S35" i="27" s="1"/>
  <c r="O35" i="27"/>
  <c r="N35" i="27"/>
  <c r="M35" i="27"/>
  <c r="L35" i="27"/>
  <c r="J35" i="27"/>
  <c r="H35" i="27"/>
  <c r="G35" i="27"/>
  <c r="F35" i="27"/>
  <c r="E35" i="27"/>
  <c r="D35" i="27"/>
  <c r="S34" i="27"/>
  <c r="Q34" i="27"/>
  <c r="P34" i="27"/>
  <c r="R34" i="27" s="1"/>
  <c r="O34" i="27"/>
  <c r="N34" i="27"/>
  <c r="M34" i="27"/>
  <c r="L34" i="27"/>
  <c r="I34" i="27"/>
  <c r="H34" i="27"/>
  <c r="J34" i="27" s="1"/>
  <c r="G34" i="27"/>
  <c r="F34" i="27"/>
  <c r="E34" i="27"/>
  <c r="D34" i="27"/>
  <c r="S33" i="27"/>
  <c r="Q33" i="27"/>
  <c r="T33" i="27" s="1"/>
  <c r="P33" i="27"/>
  <c r="R33" i="27" s="1"/>
  <c r="O33" i="27"/>
  <c r="N33" i="27"/>
  <c r="M33" i="27"/>
  <c r="L33" i="27"/>
  <c r="J33" i="27"/>
  <c r="I33" i="27"/>
  <c r="H33" i="27"/>
  <c r="G33" i="27"/>
  <c r="F33" i="27"/>
  <c r="E33" i="27"/>
  <c r="D33" i="27"/>
  <c r="S32" i="27"/>
  <c r="Q32" i="27"/>
  <c r="T32" i="27" s="1"/>
  <c r="P32" i="27"/>
  <c r="R32" i="27" s="1"/>
  <c r="O32" i="27"/>
  <c r="N32" i="27"/>
  <c r="M32" i="27"/>
  <c r="L32" i="27"/>
  <c r="J32" i="27"/>
  <c r="I32" i="27"/>
  <c r="H32" i="27"/>
  <c r="G32" i="27"/>
  <c r="F32" i="27"/>
  <c r="E32" i="27"/>
  <c r="D32" i="27"/>
  <c r="T31" i="27"/>
  <c r="Q31" i="27"/>
  <c r="P31" i="27"/>
  <c r="O31" i="27"/>
  <c r="N31" i="27"/>
  <c r="M31" i="27"/>
  <c r="L31" i="27"/>
  <c r="I31" i="27"/>
  <c r="H31" i="27"/>
  <c r="J31" i="27" s="1"/>
  <c r="G31" i="27"/>
  <c r="F31" i="27"/>
  <c r="E31" i="27"/>
  <c r="D31" i="27"/>
  <c r="T30" i="27"/>
  <c r="Q30" i="27"/>
  <c r="P30" i="27"/>
  <c r="O30" i="27"/>
  <c r="N30" i="27"/>
  <c r="M30" i="27"/>
  <c r="L30" i="27"/>
  <c r="I30" i="27"/>
  <c r="H30" i="27"/>
  <c r="J30" i="27" s="1"/>
  <c r="G30" i="27"/>
  <c r="F30" i="27"/>
  <c r="E30" i="27"/>
  <c r="D30" i="27"/>
  <c r="T29" i="27"/>
  <c r="Q29" i="27"/>
  <c r="P29" i="27"/>
  <c r="S29" i="27" s="1"/>
  <c r="O29" i="27"/>
  <c r="N29" i="27"/>
  <c r="M29" i="27"/>
  <c r="L29" i="27"/>
  <c r="I29" i="27"/>
  <c r="H29" i="27"/>
  <c r="J29" i="27" s="1"/>
  <c r="G29" i="27"/>
  <c r="F29" i="27"/>
  <c r="E29" i="27"/>
  <c r="D29" i="27"/>
  <c r="T28" i="27"/>
  <c r="S28" i="27"/>
  <c r="Q28" i="27"/>
  <c r="P28" i="27"/>
  <c r="R28" i="27" s="1"/>
  <c r="O28" i="27"/>
  <c r="N28" i="27"/>
  <c r="M28" i="27"/>
  <c r="L28" i="27"/>
  <c r="J28" i="27"/>
  <c r="I28" i="27"/>
  <c r="H28" i="27"/>
  <c r="G28" i="27"/>
  <c r="F28" i="27"/>
  <c r="E28" i="27"/>
  <c r="D28" i="27"/>
  <c r="R27" i="27"/>
  <c r="Q27" i="27"/>
  <c r="T27" i="27" s="1"/>
  <c r="G11" i="30" s="1"/>
  <c r="P27" i="27"/>
  <c r="O27" i="27"/>
  <c r="N27" i="27"/>
  <c r="M27" i="27"/>
  <c r="L27" i="27"/>
  <c r="J27" i="27"/>
  <c r="I27" i="27"/>
  <c r="H27" i="27"/>
  <c r="S27" i="27" s="1"/>
  <c r="G27" i="27"/>
  <c r="F27" i="27"/>
  <c r="E27" i="27"/>
  <c r="D27" i="27"/>
  <c r="R26" i="27"/>
  <c r="Q26" i="27"/>
  <c r="T26" i="27" s="1"/>
  <c r="P26" i="27"/>
  <c r="O26" i="27"/>
  <c r="N26" i="27"/>
  <c r="M26" i="27"/>
  <c r="L26" i="27"/>
  <c r="J26" i="27"/>
  <c r="I26" i="27"/>
  <c r="H26" i="27"/>
  <c r="S26" i="27" s="1"/>
  <c r="G26" i="27"/>
  <c r="F26" i="27"/>
  <c r="E26" i="27"/>
  <c r="D26" i="27"/>
  <c r="R25" i="27"/>
  <c r="Q25" i="27"/>
  <c r="T25" i="27" s="1"/>
  <c r="P25" i="27"/>
  <c r="O25" i="27"/>
  <c r="N25" i="27"/>
  <c r="M25" i="27"/>
  <c r="L25" i="27"/>
  <c r="J25" i="27"/>
  <c r="I25" i="27"/>
  <c r="H25" i="27"/>
  <c r="S25" i="27" s="1"/>
  <c r="G25" i="27"/>
  <c r="F25" i="27"/>
  <c r="E25" i="27"/>
  <c r="D25" i="27"/>
  <c r="R24" i="27"/>
  <c r="Q24" i="27"/>
  <c r="T24" i="27" s="1"/>
  <c r="P24" i="27"/>
  <c r="O24" i="27"/>
  <c r="N24" i="27"/>
  <c r="M24" i="27"/>
  <c r="L24" i="27"/>
  <c r="J24" i="27"/>
  <c r="I24" i="27"/>
  <c r="H24" i="27"/>
  <c r="S24" i="27" s="1"/>
  <c r="G24" i="27"/>
  <c r="F24" i="27"/>
  <c r="E24" i="27"/>
  <c r="D24" i="27"/>
  <c r="Q23" i="27"/>
  <c r="P23" i="27"/>
  <c r="S23" i="27" s="1"/>
  <c r="O23" i="27"/>
  <c r="N23" i="27"/>
  <c r="M23" i="27"/>
  <c r="L23" i="27"/>
  <c r="I23" i="27"/>
  <c r="H23" i="27"/>
  <c r="J23" i="27" s="1"/>
  <c r="G23" i="27"/>
  <c r="F23" i="27"/>
  <c r="E23" i="27"/>
  <c r="D23" i="27"/>
  <c r="Q22" i="27"/>
  <c r="T22" i="27" s="1"/>
  <c r="P22" i="27"/>
  <c r="S22" i="27" s="1"/>
  <c r="O22" i="27"/>
  <c r="N22" i="27"/>
  <c r="M22" i="27"/>
  <c r="L22" i="27"/>
  <c r="I22" i="27"/>
  <c r="H22" i="27"/>
  <c r="J22" i="27" s="1"/>
  <c r="G22" i="27"/>
  <c r="F22" i="27"/>
  <c r="E22" i="27"/>
  <c r="D22" i="27"/>
  <c r="Q21" i="27"/>
  <c r="T21" i="27" s="1"/>
  <c r="P21" i="27"/>
  <c r="S21" i="27" s="1"/>
  <c r="O21" i="27"/>
  <c r="N21" i="27"/>
  <c r="M21" i="27"/>
  <c r="L21" i="27"/>
  <c r="I21" i="27"/>
  <c r="H21" i="27"/>
  <c r="J21" i="27" s="1"/>
  <c r="G21" i="27"/>
  <c r="F21" i="27"/>
  <c r="E21" i="27"/>
  <c r="D21" i="27"/>
  <c r="Q20" i="27"/>
  <c r="T20" i="27" s="1"/>
  <c r="G9" i="30" s="1"/>
  <c r="P20" i="27"/>
  <c r="S20" i="27" s="1"/>
  <c r="O20" i="27"/>
  <c r="N20" i="27"/>
  <c r="M20" i="27"/>
  <c r="L20" i="27"/>
  <c r="I20" i="27"/>
  <c r="H20" i="27"/>
  <c r="J20" i="27" s="1"/>
  <c r="G20" i="27"/>
  <c r="F20" i="27"/>
  <c r="E20" i="27"/>
  <c r="D20" i="27"/>
  <c r="T19" i="27"/>
  <c r="Q19" i="27"/>
  <c r="P19" i="27"/>
  <c r="S19" i="27" s="1"/>
  <c r="O19" i="27"/>
  <c r="N19" i="27"/>
  <c r="M19" i="27"/>
  <c r="L19" i="27"/>
  <c r="I19" i="27"/>
  <c r="H19" i="27"/>
  <c r="J19" i="27" s="1"/>
  <c r="J76" i="27" s="1"/>
  <c r="G19" i="27"/>
  <c r="F19" i="27"/>
  <c r="E19" i="27"/>
  <c r="D19" i="27"/>
  <c r="T18" i="27"/>
  <c r="Q18" i="27"/>
  <c r="P18" i="27"/>
  <c r="S18" i="27" s="1"/>
  <c r="O18" i="27"/>
  <c r="N18" i="27"/>
  <c r="M18" i="27"/>
  <c r="L18" i="27"/>
  <c r="I18" i="27"/>
  <c r="H18" i="27"/>
  <c r="J18" i="27" s="1"/>
  <c r="G18" i="27"/>
  <c r="F18" i="27"/>
  <c r="E18" i="27"/>
  <c r="D18" i="27"/>
  <c r="T17" i="27"/>
  <c r="Q17" i="27"/>
  <c r="P17" i="27"/>
  <c r="S17" i="27" s="1"/>
  <c r="O17" i="27"/>
  <c r="N17" i="27"/>
  <c r="M17" i="27"/>
  <c r="L17" i="27"/>
  <c r="I17" i="27"/>
  <c r="H17" i="27"/>
  <c r="J17" i="27" s="1"/>
  <c r="G17" i="27"/>
  <c r="F17" i="27"/>
  <c r="E17" i="27"/>
  <c r="D17" i="27"/>
  <c r="T16" i="27"/>
  <c r="Q16" i="27"/>
  <c r="P16" i="27"/>
  <c r="S16" i="27" s="1"/>
  <c r="F8" i="30" s="1"/>
  <c r="O16" i="27"/>
  <c r="N16" i="27"/>
  <c r="M16" i="27"/>
  <c r="L16" i="27"/>
  <c r="I16" i="27"/>
  <c r="H16" i="27"/>
  <c r="J16" i="27" s="1"/>
  <c r="G16" i="27"/>
  <c r="F16" i="27"/>
  <c r="E16" i="27"/>
  <c r="D16" i="27"/>
  <c r="S15" i="27"/>
  <c r="R15" i="27"/>
  <c r="Q15" i="27"/>
  <c r="P15" i="27"/>
  <c r="O15" i="27"/>
  <c r="N15" i="27"/>
  <c r="M15" i="27"/>
  <c r="L15" i="27"/>
  <c r="J15" i="27"/>
  <c r="I15" i="27"/>
  <c r="T15" i="27" s="1"/>
  <c r="G8" i="30" s="1"/>
  <c r="H15" i="27"/>
  <c r="G15" i="27"/>
  <c r="F15" i="27"/>
  <c r="E15" i="27"/>
  <c r="D15" i="27"/>
  <c r="S14" i="27"/>
  <c r="R14" i="27"/>
  <c r="Q14" i="27"/>
  <c r="P14" i="27"/>
  <c r="O14" i="27"/>
  <c r="N14" i="27"/>
  <c r="M14" i="27"/>
  <c r="L14" i="27"/>
  <c r="J14" i="27"/>
  <c r="I14" i="27"/>
  <c r="T14" i="27" s="1"/>
  <c r="H14" i="27"/>
  <c r="G14" i="27"/>
  <c r="F14" i="27"/>
  <c r="E14" i="27"/>
  <c r="D14" i="27"/>
  <c r="S13" i="27"/>
  <c r="R13" i="27"/>
  <c r="Q13" i="27"/>
  <c r="P13" i="27"/>
  <c r="O13" i="27"/>
  <c r="N13" i="27"/>
  <c r="M13" i="27"/>
  <c r="L13" i="27"/>
  <c r="J13" i="27"/>
  <c r="I13" i="27"/>
  <c r="T13" i="27" s="1"/>
  <c r="H13" i="27"/>
  <c r="G13" i="27"/>
  <c r="F13" i="27"/>
  <c r="E13" i="27"/>
  <c r="D13" i="27"/>
  <c r="S12" i="27"/>
  <c r="R12" i="27"/>
  <c r="Q12" i="27"/>
  <c r="P12" i="27"/>
  <c r="O12" i="27"/>
  <c r="N12" i="27"/>
  <c r="M12" i="27"/>
  <c r="L12" i="27"/>
  <c r="J12" i="27"/>
  <c r="I12" i="27"/>
  <c r="T12" i="27" s="1"/>
  <c r="H12" i="27"/>
  <c r="G12" i="27"/>
  <c r="F12" i="27"/>
  <c r="E12" i="27"/>
  <c r="D12" i="27"/>
  <c r="R11" i="27"/>
  <c r="Q11" i="27"/>
  <c r="T11" i="27" s="1"/>
  <c r="P11" i="27"/>
  <c r="O11" i="27"/>
  <c r="N11" i="27"/>
  <c r="M11" i="27"/>
  <c r="L11" i="27"/>
  <c r="I11" i="27"/>
  <c r="H11" i="27"/>
  <c r="S11" i="27" s="1"/>
  <c r="F7" i="30" s="1"/>
  <c r="G11" i="27"/>
  <c r="F11" i="27"/>
  <c r="E11" i="27"/>
  <c r="D11" i="27"/>
  <c r="R10" i="27"/>
  <c r="Q10" i="27"/>
  <c r="T10" i="27" s="1"/>
  <c r="P10" i="27"/>
  <c r="O10" i="27"/>
  <c r="N10" i="27"/>
  <c r="M10" i="27"/>
  <c r="L10" i="27"/>
  <c r="I10" i="27"/>
  <c r="H10" i="27"/>
  <c r="S10" i="27" s="1"/>
  <c r="G10" i="27"/>
  <c r="F10" i="27"/>
  <c r="E10" i="27"/>
  <c r="D10" i="27"/>
  <c r="R9" i="27"/>
  <c r="Q9" i="27"/>
  <c r="T9" i="27" s="1"/>
  <c r="P9" i="27"/>
  <c r="O9" i="27"/>
  <c r="N9" i="27"/>
  <c r="M9" i="27"/>
  <c r="L9" i="27"/>
  <c r="I9" i="27"/>
  <c r="H9" i="27"/>
  <c r="S9" i="27" s="1"/>
  <c r="G9" i="27"/>
  <c r="F9" i="27"/>
  <c r="E9" i="27"/>
  <c r="D9" i="27"/>
  <c r="R8" i="27"/>
  <c r="Q8" i="27"/>
  <c r="T8" i="27" s="1"/>
  <c r="P8" i="27"/>
  <c r="O8" i="27"/>
  <c r="N8" i="27"/>
  <c r="M8" i="27"/>
  <c r="L8" i="27"/>
  <c r="I8" i="27"/>
  <c r="H8" i="27"/>
  <c r="S8" i="27" s="1"/>
  <c r="G8" i="27"/>
  <c r="F8" i="27"/>
  <c r="E8" i="27"/>
  <c r="D8" i="27"/>
  <c r="R7" i="27"/>
  <c r="Q7" i="27"/>
  <c r="T7" i="27" s="1"/>
  <c r="P7" i="27"/>
  <c r="S7" i="27" s="1"/>
  <c r="O7" i="27"/>
  <c r="N7" i="27"/>
  <c r="M7" i="27"/>
  <c r="L7" i="27"/>
  <c r="I7" i="27"/>
  <c r="H7" i="27"/>
  <c r="J7" i="27" s="1"/>
  <c r="G7" i="27"/>
  <c r="F7" i="27"/>
  <c r="E7" i="27"/>
  <c r="D7" i="27"/>
  <c r="R6" i="27"/>
  <c r="Q6" i="27"/>
  <c r="T6" i="27" s="1"/>
  <c r="P6" i="27"/>
  <c r="S6" i="27" s="1"/>
  <c r="O6" i="27"/>
  <c r="N6" i="27"/>
  <c r="M6" i="27"/>
  <c r="L6" i="27"/>
  <c r="I6" i="27"/>
  <c r="H6" i="27"/>
  <c r="J6" i="27" s="1"/>
  <c r="G6" i="27"/>
  <c r="F6" i="27"/>
  <c r="E6" i="27"/>
  <c r="D6" i="27"/>
  <c r="R5" i="27"/>
  <c r="Q5" i="27"/>
  <c r="T5" i="27" s="1"/>
  <c r="P5" i="27"/>
  <c r="S5" i="27" s="1"/>
  <c r="O5" i="27"/>
  <c r="N5" i="27"/>
  <c r="M5" i="27"/>
  <c r="L5" i="27"/>
  <c r="I5" i="27"/>
  <c r="H5" i="27"/>
  <c r="J5" i="27" s="1"/>
  <c r="G5" i="27"/>
  <c r="F5" i="27"/>
  <c r="E5" i="27"/>
  <c r="D5" i="27"/>
  <c r="R4" i="27"/>
  <c r="Q4" i="27"/>
  <c r="T4" i="27" s="1"/>
  <c r="P4" i="27"/>
  <c r="S4" i="27" s="1"/>
  <c r="O4" i="27"/>
  <c r="N4" i="27"/>
  <c r="M4" i="27"/>
  <c r="L4" i="27"/>
  <c r="I4" i="27"/>
  <c r="H4" i="27"/>
  <c r="J4" i="27" s="1"/>
  <c r="G4" i="27"/>
  <c r="F4" i="27"/>
  <c r="E4" i="27"/>
  <c r="D4" i="27"/>
  <c r="T3" i="27"/>
  <c r="Q3" i="27"/>
  <c r="P3" i="27"/>
  <c r="S3" i="27" s="1"/>
  <c r="O3" i="27"/>
  <c r="N3" i="27"/>
  <c r="M3" i="27"/>
  <c r="L3" i="27"/>
  <c r="I3" i="27"/>
  <c r="H3" i="27"/>
  <c r="J3" i="27" s="1"/>
  <c r="G3" i="27"/>
  <c r="F3" i="27"/>
  <c r="E3" i="27"/>
  <c r="D3" i="27"/>
  <c r="AD8" i="10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C33" i="9"/>
  <c r="G29" i="9"/>
  <c r="F26" i="9"/>
  <c r="F25" i="9"/>
  <c r="C23" i="9"/>
  <c r="G20" i="9"/>
  <c r="C13" i="9"/>
  <c r="F10" i="9"/>
  <c r="G9" i="9"/>
  <c r="F9" i="9"/>
  <c r="G7" i="9"/>
  <c r="C3" i="9"/>
  <c r="N55" i="30"/>
  <c r="M53" i="30"/>
  <c r="M52" i="30"/>
  <c r="M51" i="30"/>
  <c r="N50" i="30"/>
  <c r="M50" i="30"/>
  <c r="I50" i="30"/>
  <c r="B50" i="30"/>
  <c r="N49" i="30"/>
  <c r="I49" i="30"/>
  <c r="F49" i="30"/>
  <c r="B49" i="30"/>
  <c r="N48" i="30"/>
  <c r="I48" i="30"/>
  <c r="G48" i="30"/>
  <c r="B48" i="30"/>
  <c r="M47" i="30"/>
  <c r="I47" i="30"/>
  <c r="G47" i="30"/>
  <c r="B47" i="30"/>
  <c r="N46" i="30"/>
  <c r="M46" i="30"/>
  <c r="I46" i="30"/>
  <c r="G46" i="30"/>
  <c r="B46" i="30"/>
  <c r="N45" i="30"/>
  <c r="M45" i="30"/>
  <c r="I45" i="30"/>
  <c r="B45" i="30"/>
  <c r="N44" i="30"/>
  <c r="I44" i="30"/>
  <c r="B44" i="30"/>
  <c r="N43" i="30"/>
  <c r="I43" i="30"/>
  <c r="B43" i="30"/>
  <c r="N42" i="30"/>
  <c r="M42" i="30"/>
  <c r="I42" i="30"/>
  <c r="B42" i="30"/>
  <c r="N41" i="30"/>
  <c r="M41" i="30"/>
  <c r="I41" i="30"/>
  <c r="B41" i="30"/>
  <c r="N40" i="30"/>
  <c r="M40" i="30"/>
  <c r="I40" i="30"/>
  <c r="B40" i="30"/>
  <c r="N39" i="30"/>
  <c r="M39" i="30"/>
  <c r="I39" i="30"/>
  <c r="B39" i="30"/>
  <c r="N38" i="30"/>
  <c r="M38" i="30"/>
  <c r="I38" i="30"/>
  <c r="B38" i="30"/>
  <c r="M37" i="30"/>
  <c r="I37" i="30"/>
  <c r="B37" i="30"/>
  <c r="N36" i="30"/>
  <c r="M36" i="30"/>
  <c r="I36" i="30"/>
  <c r="B36" i="30"/>
  <c r="N35" i="30"/>
  <c r="I35" i="30"/>
  <c r="B35" i="30"/>
  <c r="N34" i="30"/>
  <c r="M34" i="30"/>
  <c r="I34" i="30"/>
  <c r="B34" i="30"/>
  <c r="N33" i="30"/>
  <c r="M33" i="30"/>
  <c r="I33" i="30"/>
  <c r="B33" i="30"/>
  <c r="J31" i="30"/>
  <c r="C31" i="30"/>
  <c r="G28" i="30"/>
  <c r="F28" i="30"/>
  <c r="G27" i="30"/>
  <c r="F27" i="30"/>
  <c r="G25" i="30"/>
  <c r="I22" i="30"/>
  <c r="G22" i="30"/>
  <c r="F22" i="30"/>
  <c r="B22" i="30"/>
  <c r="I21" i="30"/>
  <c r="G21" i="30"/>
  <c r="F21" i="30"/>
  <c r="B21" i="30"/>
  <c r="I20" i="30"/>
  <c r="G20" i="30"/>
  <c r="F20" i="30"/>
  <c r="B20" i="30"/>
  <c r="I19" i="30"/>
  <c r="G19" i="30"/>
  <c r="F19" i="30"/>
  <c r="B19" i="30"/>
  <c r="I18" i="30"/>
  <c r="G18" i="30"/>
  <c r="F18" i="30"/>
  <c r="B18" i="30"/>
  <c r="I17" i="30"/>
  <c r="G17" i="30"/>
  <c r="F17" i="30"/>
  <c r="B17" i="30"/>
  <c r="I16" i="30"/>
  <c r="G16" i="30"/>
  <c r="B16" i="30"/>
  <c r="I15" i="30"/>
  <c r="G15" i="30"/>
  <c r="F15" i="30"/>
  <c r="B15" i="30"/>
  <c r="I14" i="30"/>
  <c r="G14" i="30"/>
  <c r="F14" i="30"/>
  <c r="B14" i="30"/>
  <c r="I13" i="30"/>
  <c r="G13" i="30"/>
  <c r="F13" i="30"/>
  <c r="B13" i="30"/>
  <c r="I12" i="30"/>
  <c r="B12" i="30"/>
  <c r="I11" i="30"/>
  <c r="B11" i="30"/>
  <c r="I10" i="30"/>
  <c r="B10" i="30"/>
  <c r="I9" i="30"/>
  <c r="B9" i="30"/>
  <c r="I8" i="30"/>
  <c r="B8" i="30"/>
  <c r="I7" i="30"/>
  <c r="B7" i="30"/>
  <c r="I6" i="30"/>
  <c r="B6" i="30"/>
  <c r="I5" i="30"/>
  <c r="B5" i="30"/>
  <c r="J3" i="30"/>
  <c r="C3" i="30"/>
  <c r="V7" i="20"/>
  <c r="Z67" i="29"/>
  <c r="Z27" i="20"/>
  <c r="X7" i="27"/>
  <c r="AA31" i="25"/>
  <c r="AA23" i="20"/>
  <c r="W31" i="25"/>
  <c r="X7" i="29"/>
  <c r="AA3" i="20"/>
  <c r="AA43" i="20"/>
  <c r="Y63" i="27"/>
  <c r="X59" i="20"/>
  <c r="Y19" i="20"/>
  <c r="Z3" i="29"/>
  <c r="X27" i="20"/>
  <c r="AA35" i="27"/>
  <c r="AA35" i="25"/>
  <c r="AA63" i="27"/>
  <c r="Z27" i="27"/>
  <c r="Y59" i="29"/>
  <c r="AA55" i="29"/>
  <c r="Y35" i="27"/>
  <c r="Z3" i="27"/>
  <c r="Z55" i="20"/>
  <c r="X39" i="29"/>
  <c r="AA15" i="25"/>
  <c r="W55" i="29"/>
  <c r="W35" i="20"/>
  <c r="Y3" i="29"/>
  <c r="AA7" i="25"/>
  <c r="W71" i="20"/>
  <c r="X23" i="27"/>
  <c r="AA39" i="27"/>
  <c r="V59" i="27"/>
  <c r="V15" i="20"/>
  <c r="Y23" i="20"/>
  <c r="Y7" i="20"/>
  <c r="X19" i="20"/>
  <c r="X11" i="20"/>
  <c r="AA63" i="29"/>
  <c r="X55" i="27"/>
  <c r="Z55" i="29"/>
  <c r="X35" i="29"/>
  <c r="Y19" i="25"/>
  <c r="V11" i="29"/>
  <c r="V59" i="25"/>
  <c r="Z39" i="29"/>
  <c r="Z59" i="29"/>
  <c r="X47" i="25"/>
  <c r="AA15" i="29"/>
  <c r="Z63" i="20"/>
  <c r="Z39" i="20"/>
  <c r="Y43" i="29"/>
  <c r="W47" i="20"/>
  <c r="V47" i="27"/>
  <c r="Y11" i="25"/>
  <c r="X31" i="27"/>
  <c r="X11" i="25"/>
  <c r="V3" i="25"/>
  <c r="Y15" i="25"/>
  <c r="V31" i="25"/>
  <c r="AA63" i="20"/>
  <c r="X71" i="25"/>
  <c r="W59" i="20"/>
  <c r="V27" i="20"/>
  <c r="Z35" i="27"/>
  <c r="X39" i="20"/>
  <c r="AA47" i="29"/>
  <c r="X59" i="29"/>
  <c r="Z31" i="25"/>
  <c r="Y31" i="25"/>
  <c r="Z51" i="27"/>
  <c r="V63" i="29"/>
  <c r="V47" i="20"/>
  <c r="W7" i="25"/>
  <c r="Z59" i="20"/>
  <c r="Z15" i="25"/>
  <c r="Y7" i="25"/>
  <c r="X55" i="20"/>
  <c r="W51" i="27"/>
  <c r="V51" i="20"/>
  <c r="Y11" i="29"/>
  <c r="Y27" i="20"/>
  <c r="W43" i="27"/>
  <c r="V67" i="27"/>
  <c r="Y35" i="29"/>
  <c r="Y27" i="27"/>
  <c r="X3" i="27"/>
  <c r="X19" i="27"/>
  <c r="Z15" i="29"/>
  <c r="Z47" i="20"/>
  <c r="V23" i="25"/>
  <c r="Z71" i="25"/>
  <c r="AA23" i="25"/>
  <c r="Y47" i="29"/>
  <c r="V23" i="27"/>
  <c r="Z11" i="27"/>
  <c r="W51" i="29"/>
  <c r="W23" i="25"/>
  <c r="W31" i="20"/>
  <c r="Z11" i="25"/>
  <c r="W3" i="20"/>
  <c r="V39" i="27"/>
  <c r="AA7" i="27"/>
  <c r="X43" i="25"/>
  <c r="W35" i="29"/>
  <c r="AA35" i="20"/>
  <c r="X47" i="20"/>
  <c r="X47" i="27"/>
  <c r="AA71" i="25"/>
  <c r="AA23" i="29"/>
  <c r="Y35" i="20"/>
  <c r="V43" i="27"/>
  <c r="Z11" i="29"/>
  <c r="AA55" i="20"/>
  <c r="V39" i="20"/>
  <c r="AA71" i="29"/>
  <c r="W15" i="20"/>
  <c r="Y19" i="27"/>
  <c r="X15" i="29"/>
  <c r="Z67" i="25"/>
  <c r="W3" i="27"/>
  <c r="X51" i="27"/>
  <c r="AA27" i="25"/>
  <c r="Z35" i="25"/>
  <c r="W31" i="27"/>
  <c r="W7" i="20"/>
  <c r="W67" i="20"/>
  <c r="X31" i="20"/>
  <c r="Y55" i="20"/>
  <c r="X35" i="27"/>
  <c r="X67" i="20"/>
  <c r="Y31" i="20"/>
  <c r="X51" i="29"/>
  <c r="Y11" i="20"/>
  <c r="V63" i="27"/>
  <c r="X63" i="27"/>
  <c r="W35" i="27"/>
  <c r="W19" i="20"/>
  <c r="Y43" i="20"/>
  <c r="Z51" i="29"/>
  <c r="X11" i="27"/>
  <c r="V67" i="29"/>
  <c r="X51" i="25"/>
  <c r="Y71" i="29"/>
  <c r="V71" i="29"/>
  <c r="X23" i="20"/>
  <c r="X15" i="27"/>
  <c r="W27" i="25"/>
  <c r="V27" i="29"/>
  <c r="V67" i="20"/>
  <c r="W63" i="27"/>
  <c r="Y3" i="25"/>
  <c r="Z51" i="20"/>
  <c r="V11" i="27"/>
  <c r="V15" i="29"/>
  <c r="Z71" i="20"/>
  <c r="Z55" i="27"/>
  <c r="V63" i="20"/>
  <c r="Z43" i="25"/>
  <c r="Y51" i="25"/>
  <c r="X55" i="25"/>
  <c r="X19" i="25"/>
  <c r="V59" i="20"/>
  <c r="X3" i="25"/>
  <c r="Y27" i="25"/>
  <c r="V23" i="29"/>
  <c r="AA15" i="27"/>
  <c r="AA59" i="27"/>
  <c r="V11" i="20"/>
  <c r="X59" i="27"/>
  <c r="AA55" i="25"/>
  <c r="V31" i="27"/>
  <c r="Y15" i="20"/>
  <c r="Y47" i="20"/>
  <c r="W51" i="25"/>
  <c r="W67" i="25"/>
  <c r="AA67" i="29"/>
  <c r="AA39" i="29"/>
  <c r="X35" i="20"/>
  <c r="W59" i="27"/>
  <c r="AA47" i="25"/>
  <c r="AA47" i="27"/>
  <c r="Y23" i="25"/>
  <c r="V43" i="25"/>
  <c r="W47" i="27"/>
  <c r="AA19" i="27"/>
  <c r="V59" i="29"/>
  <c r="Y39" i="25"/>
  <c r="V51" i="25"/>
  <c r="AA63" i="25"/>
  <c r="Y67" i="27"/>
  <c r="V15" i="27"/>
  <c r="AA51" i="20"/>
  <c r="X7" i="25"/>
  <c r="X23" i="25"/>
  <c r="AA35" i="29"/>
  <c r="V55" i="29"/>
  <c r="W27" i="20"/>
  <c r="Y7" i="29"/>
  <c r="Z43" i="27"/>
  <c r="W43" i="25"/>
  <c r="Z35" i="29"/>
  <c r="V23" i="20"/>
  <c r="W47" i="29"/>
  <c r="X55" i="29"/>
  <c r="Y15" i="27"/>
  <c r="Z31" i="27"/>
  <c r="X47" i="29"/>
  <c r="W55" i="27"/>
  <c r="V11" i="25"/>
  <c r="V31" i="29"/>
  <c r="Y63" i="29"/>
  <c r="V7" i="27"/>
  <c r="AA67" i="27"/>
  <c r="X43" i="20"/>
  <c r="Z19" i="20"/>
  <c r="Y39" i="29"/>
  <c r="X59" i="25"/>
  <c r="Y39" i="20"/>
  <c r="AA15" i="20"/>
  <c r="X27" i="27"/>
  <c r="W59" i="29"/>
  <c r="V27" i="27"/>
  <c r="V27" i="25"/>
  <c r="W27" i="29"/>
  <c r="AA39" i="20"/>
  <c r="Z71" i="29"/>
  <c r="Z47" i="27"/>
  <c r="Y63" i="20"/>
  <c r="W63" i="25"/>
  <c r="Z7" i="27"/>
  <c r="W7" i="29"/>
  <c r="Z71" i="27"/>
  <c r="Y51" i="20"/>
  <c r="AA3" i="25"/>
  <c r="Y67" i="20"/>
  <c r="Z27" i="29"/>
  <c r="Z39" i="25"/>
  <c r="Y67" i="25"/>
  <c r="AA71" i="27"/>
  <c r="Z15" i="20"/>
  <c r="V63" i="25"/>
  <c r="Y43" i="27"/>
  <c r="W71" i="25"/>
  <c r="W71" i="27"/>
  <c r="W43" i="29"/>
  <c r="AA19" i="20"/>
  <c r="X43" i="29"/>
  <c r="Y71" i="25"/>
  <c r="Z3" i="20"/>
  <c r="AA47" i="20"/>
  <c r="V51" i="27"/>
  <c r="Y67" i="29"/>
  <c r="W67" i="29"/>
  <c r="AA55" i="27"/>
  <c r="W11" i="20"/>
  <c r="X71" i="27"/>
  <c r="X51" i="20"/>
  <c r="Y35" i="25"/>
  <c r="AA7" i="29"/>
  <c r="V71" i="27"/>
  <c r="Z43" i="20"/>
  <c r="W51" i="20"/>
  <c r="AA31" i="20"/>
  <c r="W23" i="20"/>
  <c r="W3" i="25"/>
  <c r="AA43" i="29"/>
  <c r="V71" i="20"/>
  <c r="X27" i="25"/>
  <c r="Z43" i="29"/>
  <c r="X15" i="25"/>
  <c r="X43" i="27"/>
  <c r="Y3" i="20"/>
  <c r="AA11" i="20"/>
  <c r="Z31" i="29"/>
  <c r="V43" i="20"/>
  <c r="X15" i="20"/>
  <c r="W19" i="25"/>
  <c r="X31" i="25"/>
  <c r="X39" i="25"/>
  <c r="W27" i="27"/>
  <c r="X31" i="29"/>
  <c r="Z63" i="27"/>
  <c r="Y31" i="27"/>
  <c r="AA67" i="25"/>
  <c r="Z31" i="20"/>
  <c r="AA11" i="29"/>
  <c r="Z19" i="27"/>
  <c r="Y71" i="20"/>
  <c r="AA59" i="29"/>
  <c r="W63" i="29"/>
  <c r="V67" i="25"/>
  <c r="AA19" i="25"/>
  <c r="AA27" i="27"/>
  <c r="W63" i="20"/>
  <c r="X39" i="27"/>
  <c r="X23" i="29"/>
  <c r="V19" i="25"/>
  <c r="AA3" i="29"/>
  <c r="W47" i="25"/>
  <c r="Z35" i="20"/>
  <c r="Y63" i="25"/>
  <c r="Z63" i="25"/>
  <c r="V3" i="20"/>
  <c r="Z51" i="25"/>
  <c r="Y55" i="29"/>
  <c r="Z67" i="27"/>
  <c r="Y47" i="27"/>
  <c r="AA59" i="25"/>
  <c r="X71" i="29"/>
  <c r="V39" i="25"/>
  <c r="W39" i="20"/>
  <c r="W71" i="29"/>
  <c r="AA67" i="20"/>
  <c r="Y55" i="27"/>
  <c r="Z23" i="27"/>
  <c r="AA59" i="20"/>
  <c r="AA7" i="20"/>
  <c r="V35" i="20"/>
  <c r="AA51" i="25"/>
  <c r="X27" i="29"/>
  <c r="Y47" i="25"/>
  <c r="W59" i="25"/>
  <c r="V3" i="27"/>
  <c r="Y59" i="20"/>
  <c r="V55" i="20"/>
  <c r="W23" i="29"/>
  <c r="AA51" i="29"/>
  <c r="AA31" i="29"/>
  <c r="X67" i="27"/>
  <c r="V35" i="29"/>
  <c r="Z59" i="25"/>
  <c r="W15" i="25"/>
  <c r="AA11" i="25"/>
  <c r="V35" i="27"/>
  <c r="AA27" i="29"/>
  <c r="W11" i="29"/>
  <c r="AA51" i="27"/>
  <c r="W67" i="27"/>
  <c r="AA3" i="27"/>
  <c r="Z23" i="20"/>
  <c r="V31" i="20"/>
  <c r="W23" i="27"/>
  <c r="AA31" i="27"/>
  <c r="V7" i="25"/>
  <c r="Y43" i="25"/>
  <c r="W43" i="20"/>
  <c r="Z15" i="27"/>
  <c r="Z19" i="25"/>
  <c r="Y71" i="27"/>
  <c r="AA39" i="25"/>
  <c r="V51" i="29"/>
  <c r="X3" i="20"/>
  <c r="Z23" i="29"/>
  <c r="Y31" i="29"/>
  <c r="V55" i="27"/>
  <c r="Y11" i="27"/>
  <c r="Y7" i="27"/>
  <c r="W55" i="20"/>
  <c r="AA27" i="20"/>
  <c r="Z63" i="29"/>
  <c r="Y51" i="29"/>
  <c r="Z47" i="29"/>
  <c r="Z23" i="25"/>
  <c r="Y39" i="27"/>
  <c r="Z27" i="25"/>
  <c r="W15" i="29"/>
  <c r="W55" i="25"/>
  <c r="AA11" i="27"/>
  <c r="V47" i="25"/>
  <c r="W7" i="27"/>
  <c r="W35" i="25"/>
  <c r="AA23" i="27"/>
  <c r="W31" i="29"/>
  <c r="W11" i="27"/>
  <c r="V71" i="25"/>
  <c r="X11" i="29"/>
  <c r="Z3" i="25"/>
  <c r="V7" i="29"/>
  <c r="W39" i="27"/>
  <c r="Z39" i="27"/>
  <c r="X63" i="20"/>
  <c r="Z59" i="27"/>
  <c r="X7" i="20"/>
  <c r="Z47" i="25"/>
  <c r="X71" i="20"/>
  <c r="Y23" i="27"/>
  <c r="Z11" i="20"/>
  <c r="AA71" i="20"/>
  <c r="V55" i="25"/>
  <c r="X67" i="29"/>
  <c r="Y3" i="27"/>
  <c r="Z7" i="29"/>
  <c r="Y51" i="27"/>
  <c r="Z55" i="25"/>
  <c r="AA43" i="25"/>
  <c r="W11" i="25"/>
  <c r="W15" i="27"/>
  <c r="V35" i="25"/>
  <c r="W19" i="27"/>
  <c r="X35" i="25"/>
  <c r="Y59" i="27"/>
  <c r="W39" i="25"/>
  <c r="V15" i="25"/>
  <c r="X63" i="25"/>
  <c r="AA43" i="27"/>
  <c r="Z67" i="20"/>
  <c r="V19" i="20"/>
  <c r="X63" i="29"/>
  <c r="Z7" i="25"/>
  <c r="Y59" i="25"/>
  <c r="V19" i="27"/>
  <c r="X67" i="25"/>
  <c r="Y55" i="25"/>
  <c r="Z7" i="20"/>
  <c r="Y23" i="29"/>
  <c r="W80" i="29" l="1"/>
  <c r="V80" i="29"/>
  <c r="X80" i="29"/>
  <c r="Z80" i="29"/>
  <c r="AA80" i="29"/>
  <c r="Y80" i="29"/>
  <c r="V78" i="29"/>
  <c r="M21" i="30"/>
  <c r="M20" i="30"/>
  <c r="W75" i="29"/>
  <c r="V75" i="29"/>
  <c r="X75" i="29"/>
  <c r="X76" i="29"/>
  <c r="M10" i="30"/>
  <c r="G36" i="9"/>
  <c r="N9" i="30"/>
  <c r="M9" i="30"/>
  <c r="T47" i="29"/>
  <c r="N16" i="30" s="1"/>
  <c r="S4" i="29"/>
  <c r="T11" i="29"/>
  <c r="N7" i="30" s="1"/>
  <c r="S3" i="29"/>
  <c r="T70" i="29"/>
  <c r="T15" i="29"/>
  <c r="N8" i="30" s="1"/>
  <c r="T64" i="29"/>
  <c r="S7" i="29"/>
  <c r="T16" i="29"/>
  <c r="T61" i="29"/>
  <c r="S6" i="29"/>
  <c r="S10" i="29"/>
  <c r="R5" i="29"/>
  <c r="T63" i="29"/>
  <c r="N20" i="30" s="1"/>
  <c r="T9" i="29"/>
  <c r="T18" i="29"/>
  <c r="S11" i="29"/>
  <c r="S18" i="29"/>
  <c r="S9" i="29"/>
  <c r="T17" i="29"/>
  <c r="T68" i="29"/>
  <c r="T7" i="29"/>
  <c r="N6" i="30" s="1"/>
  <c r="S8" i="29"/>
  <c r="S17" i="29"/>
  <c r="T62" i="29"/>
  <c r="T6" i="29"/>
  <c r="R7" i="29"/>
  <c r="T59" i="29"/>
  <c r="T5" i="29"/>
  <c r="T71" i="29"/>
  <c r="N22" i="30" s="1"/>
  <c r="R3" i="29"/>
  <c r="S13" i="29"/>
  <c r="M19" i="30"/>
  <c r="M17" i="30"/>
  <c r="M14" i="30"/>
  <c r="M13" i="30"/>
  <c r="M12" i="30"/>
  <c r="M11" i="30"/>
  <c r="F36" i="9"/>
  <c r="S46" i="29"/>
  <c r="S47" i="29"/>
  <c r="I80" i="29"/>
  <c r="S50" i="29"/>
  <c r="I77" i="29"/>
  <c r="J77" i="29"/>
  <c r="Q77" i="29"/>
  <c r="Q81" i="29"/>
  <c r="T74" i="29"/>
  <c r="J78" i="20"/>
  <c r="J77" i="20"/>
  <c r="G44" i="30"/>
  <c r="J80" i="20"/>
  <c r="F35" i="30"/>
  <c r="J76" i="20"/>
  <c r="J79" i="20"/>
  <c r="J81" i="20"/>
  <c r="S9" i="20"/>
  <c r="S14" i="20"/>
  <c r="G37" i="30"/>
  <c r="T29" i="20"/>
  <c r="S68" i="20"/>
  <c r="T24" i="20"/>
  <c r="G38" i="30" s="1"/>
  <c r="S39" i="20"/>
  <c r="F42" i="30" s="1"/>
  <c r="S51" i="20"/>
  <c r="S66" i="20"/>
  <c r="J75" i="20"/>
  <c r="T61" i="20"/>
  <c r="I75" i="20"/>
  <c r="G39" i="30"/>
  <c r="T17" i="20"/>
  <c r="G36" i="30" s="1"/>
  <c r="R22" i="20"/>
  <c r="S59" i="20"/>
  <c r="S64" i="20"/>
  <c r="T73" i="20"/>
  <c r="Q79" i="20"/>
  <c r="S15" i="20"/>
  <c r="F36" i="30" s="1"/>
  <c r="T43" i="20"/>
  <c r="G43" i="30" s="1"/>
  <c r="I81" i="20"/>
  <c r="S30" i="20"/>
  <c r="S47" i="20"/>
  <c r="F44" i="30" s="1"/>
  <c r="S54" i="20"/>
  <c r="G33" i="30"/>
  <c r="S77" i="20"/>
  <c r="T52" i="20"/>
  <c r="S8" i="20"/>
  <c r="F34" i="30" s="1"/>
  <c r="G41" i="30"/>
  <c r="T40" i="20"/>
  <c r="G42" i="30" s="1"/>
  <c r="S28" i="20"/>
  <c r="S52" i="20"/>
  <c r="F41" i="30"/>
  <c r="T45" i="20"/>
  <c r="S55" i="20"/>
  <c r="F46" i="30" s="1"/>
  <c r="T60" i="20"/>
  <c r="T65" i="20"/>
  <c r="S74" i="20"/>
  <c r="G35" i="30"/>
  <c r="T78" i="20"/>
  <c r="G45" i="30"/>
  <c r="R12" i="20"/>
  <c r="S27" i="20"/>
  <c r="R29" i="20"/>
  <c r="S25" i="20"/>
  <c r="R63" i="20"/>
  <c r="Q76" i="20"/>
  <c r="R21" i="20"/>
  <c r="R53" i="20"/>
  <c r="R55" i="20"/>
  <c r="S72" i="20"/>
  <c r="R36" i="20"/>
  <c r="R38" i="20"/>
  <c r="R68" i="20"/>
  <c r="R13" i="20"/>
  <c r="S26" i="20"/>
  <c r="R47" i="20"/>
  <c r="R60" i="20"/>
  <c r="R62" i="20"/>
  <c r="R5" i="20"/>
  <c r="R7" i="20"/>
  <c r="R15" i="20"/>
  <c r="S24" i="20"/>
  <c r="M49" i="30"/>
  <c r="S63" i="25"/>
  <c r="S66" i="25"/>
  <c r="J79" i="25"/>
  <c r="S79" i="25"/>
  <c r="F30" i="9" s="1"/>
  <c r="F29" i="9"/>
  <c r="F28" i="9"/>
  <c r="K48" i="30"/>
  <c r="C8" i="30"/>
  <c r="AA77" i="20"/>
  <c r="J49" i="30"/>
  <c r="D6" i="30"/>
  <c r="V77" i="27"/>
  <c r="C13" i="30"/>
  <c r="C15" i="30"/>
  <c r="Y78" i="27"/>
  <c r="E21" i="30"/>
  <c r="E33" i="30"/>
  <c r="C38" i="30"/>
  <c r="E44" i="30"/>
  <c r="E50" i="30"/>
  <c r="W80" i="25"/>
  <c r="K33" i="30"/>
  <c r="AA77" i="25"/>
  <c r="AA79" i="25"/>
  <c r="K5" i="30"/>
  <c r="AA76" i="29"/>
  <c r="W77" i="29"/>
  <c r="K13" i="30"/>
  <c r="J16" i="30"/>
  <c r="AA78" i="29"/>
  <c r="W79" i="29"/>
  <c r="K19" i="30"/>
  <c r="L15" i="30"/>
  <c r="V79" i="25"/>
  <c r="J47" i="30"/>
  <c r="E6" i="30"/>
  <c r="W77" i="27"/>
  <c r="D13" i="30"/>
  <c r="D15" i="30"/>
  <c r="Z78" i="27"/>
  <c r="Y75" i="20"/>
  <c r="D38" i="30"/>
  <c r="X75" i="25"/>
  <c r="L33" i="30"/>
  <c r="X80" i="25"/>
  <c r="J36" i="30"/>
  <c r="J44" i="30"/>
  <c r="J46" i="30"/>
  <c r="L5" i="30"/>
  <c r="J6" i="30"/>
  <c r="J8" i="30"/>
  <c r="X77" i="29"/>
  <c r="L13" i="30"/>
  <c r="J14" i="30"/>
  <c r="K16" i="30"/>
  <c r="X79" i="29"/>
  <c r="L19" i="30"/>
  <c r="X78" i="20"/>
  <c r="E45" i="30"/>
  <c r="E14" i="30"/>
  <c r="J39" i="30"/>
  <c r="X77" i="27"/>
  <c r="E13" i="30"/>
  <c r="E15" i="30"/>
  <c r="AA78" i="27"/>
  <c r="Z75" i="20"/>
  <c r="E38" i="30"/>
  <c r="Y75" i="25"/>
  <c r="K36" i="30"/>
  <c r="K44" i="30"/>
  <c r="K46" i="30"/>
  <c r="Y75" i="29"/>
  <c r="K6" i="30"/>
  <c r="K8" i="30"/>
  <c r="Y77" i="29"/>
  <c r="K14" i="30"/>
  <c r="L16" i="30"/>
  <c r="Y79" i="29"/>
  <c r="AA76" i="27"/>
  <c r="D43" i="30"/>
  <c r="K10" i="30"/>
  <c r="D39" i="30"/>
  <c r="L10" i="30"/>
  <c r="Y77" i="27"/>
  <c r="C16" i="30"/>
  <c r="C20" i="30"/>
  <c r="AA75" i="20"/>
  <c r="Z75" i="25"/>
  <c r="L36" i="30"/>
  <c r="V76" i="25"/>
  <c r="J37" i="30"/>
  <c r="L44" i="30"/>
  <c r="V78" i="25"/>
  <c r="J45" i="30"/>
  <c r="L46" i="30"/>
  <c r="Z75" i="29"/>
  <c r="L6" i="30"/>
  <c r="J7" i="30"/>
  <c r="L8" i="30"/>
  <c r="Z77" i="29"/>
  <c r="L14" i="30"/>
  <c r="Z79" i="29"/>
  <c r="K20" i="30"/>
  <c r="V76" i="29"/>
  <c r="J9" i="30"/>
  <c r="Z77" i="27"/>
  <c r="D16" i="30"/>
  <c r="D20" i="30"/>
  <c r="C42" i="30"/>
  <c r="V79" i="20"/>
  <c r="C47" i="30"/>
  <c r="C49" i="30"/>
  <c r="AA75" i="25"/>
  <c r="W76" i="25"/>
  <c r="K37" i="30"/>
  <c r="W78" i="25"/>
  <c r="K45" i="30"/>
  <c r="AA75" i="29"/>
  <c r="K7" i="30"/>
  <c r="AA77" i="29"/>
  <c r="AA79" i="29"/>
  <c r="J21" i="30"/>
  <c r="Z77" i="20"/>
  <c r="V77" i="25"/>
  <c r="J41" i="30"/>
  <c r="C5" i="30"/>
  <c r="V76" i="27"/>
  <c r="C9" i="30"/>
  <c r="C12" i="30"/>
  <c r="AA77" i="27"/>
  <c r="E16" i="30"/>
  <c r="V79" i="27"/>
  <c r="C19" i="30"/>
  <c r="E20" i="30"/>
  <c r="D42" i="30"/>
  <c r="W79" i="20"/>
  <c r="D47" i="30"/>
  <c r="D49" i="30"/>
  <c r="X76" i="25"/>
  <c r="L37" i="30"/>
  <c r="X78" i="25"/>
  <c r="L45" i="30"/>
  <c r="L7" i="30"/>
  <c r="J12" i="30"/>
  <c r="K21" i="30"/>
  <c r="J11" i="30"/>
  <c r="D5" i="30"/>
  <c r="W76" i="27"/>
  <c r="D9" i="30"/>
  <c r="D12" i="30"/>
  <c r="W79" i="27"/>
  <c r="D19" i="30"/>
  <c r="V76" i="20"/>
  <c r="C37" i="30"/>
  <c r="V77" i="20"/>
  <c r="C41" i="30"/>
  <c r="E42" i="30"/>
  <c r="C46" i="30"/>
  <c r="X79" i="20"/>
  <c r="E47" i="30"/>
  <c r="C48" i="30"/>
  <c r="E49" i="30"/>
  <c r="Y76" i="25"/>
  <c r="Y78" i="25"/>
  <c r="K12" i="30"/>
  <c r="L21" i="30"/>
  <c r="J22" i="30"/>
  <c r="C35" i="30"/>
  <c r="C10" i="30"/>
  <c r="D35" i="30"/>
  <c r="E5" i="30"/>
  <c r="X76" i="27"/>
  <c r="E9" i="30"/>
  <c r="E12" i="30"/>
  <c r="C18" i="30"/>
  <c r="X79" i="27"/>
  <c r="E19" i="30"/>
  <c r="W76" i="20"/>
  <c r="D37" i="30"/>
  <c r="W77" i="20"/>
  <c r="D41" i="30"/>
  <c r="D46" i="30"/>
  <c r="Y79" i="20"/>
  <c r="D48" i="30"/>
  <c r="J35" i="30"/>
  <c r="Z76" i="25"/>
  <c r="J43" i="30"/>
  <c r="Z78" i="25"/>
  <c r="L12" i="30"/>
  <c r="K22" i="30"/>
  <c r="D11" i="30"/>
  <c r="AA79" i="27"/>
  <c r="L20" i="30"/>
  <c r="Y76" i="27"/>
  <c r="D18" i="30"/>
  <c r="Y79" i="27"/>
  <c r="X76" i="20"/>
  <c r="E37" i="30"/>
  <c r="X77" i="20"/>
  <c r="E41" i="30"/>
  <c r="V78" i="20"/>
  <c r="C45" i="30"/>
  <c r="E46" i="30"/>
  <c r="Z79" i="20"/>
  <c r="E48" i="30"/>
  <c r="K35" i="30"/>
  <c r="AA76" i="25"/>
  <c r="K43" i="30"/>
  <c r="AA78" i="25"/>
  <c r="J15" i="30"/>
  <c r="L22" i="30"/>
  <c r="C7" i="30"/>
  <c r="Z76" i="27"/>
  <c r="C11" i="30"/>
  <c r="C14" i="30"/>
  <c r="E18" i="30"/>
  <c r="Z79" i="27"/>
  <c r="Y76" i="20"/>
  <c r="Y77" i="20"/>
  <c r="C43" i="30"/>
  <c r="W78" i="20"/>
  <c r="D55" i="30" s="1"/>
  <c r="D45" i="30"/>
  <c r="AA79" i="20"/>
  <c r="L35" i="30"/>
  <c r="J40" i="30"/>
  <c r="L43" i="30"/>
  <c r="J48" i="30"/>
  <c r="J10" i="30"/>
  <c r="K15" i="30"/>
  <c r="J20" i="30"/>
  <c r="D7" i="30"/>
  <c r="D14" i="30"/>
  <c r="C39" i="30"/>
  <c r="E11" i="30"/>
  <c r="AA76" i="20"/>
  <c r="E43" i="30"/>
  <c r="L48" i="30"/>
  <c r="D8" i="30"/>
  <c r="D10" i="30"/>
  <c r="C22" i="30"/>
  <c r="C34" i="30"/>
  <c r="E35" i="30"/>
  <c r="C36" i="30"/>
  <c r="E39" i="30"/>
  <c r="C40" i="30"/>
  <c r="Z78" i="20"/>
  <c r="K39" i="30"/>
  <c r="W77" i="25"/>
  <c r="K41" i="30"/>
  <c r="W79" i="25"/>
  <c r="K47" i="30"/>
  <c r="K49" i="30"/>
  <c r="W76" i="29"/>
  <c r="K9" i="30"/>
  <c r="K11" i="30"/>
  <c r="W78" i="29"/>
  <c r="K17" i="30"/>
  <c r="K40" i="30"/>
  <c r="E7" i="30"/>
  <c r="E8" i="30"/>
  <c r="E10" i="30"/>
  <c r="V78" i="27"/>
  <c r="C17" i="30"/>
  <c r="D22" i="30"/>
  <c r="D34" i="30"/>
  <c r="D36" i="30"/>
  <c r="D40" i="30"/>
  <c r="AA78" i="20"/>
  <c r="J34" i="30"/>
  <c r="J38" i="30"/>
  <c r="L39" i="30"/>
  <c r="X77" i="25"/>
  <c r="L41" i="30"/>
  <c r="J42" i="30"/>
  <c r="X79" i="25"/>
  <c r="L47" i="30"/>
  <c r="L49" i="30"/>
  <c r="J50" i="30"/>
  <c r="L9" i="30"/>
  <c r="L11" i="30"/>
  <c r="X78" i="29"/>
  <c r="L17" i="30"/>
  <c r="J18" i="30"/>
  <c r="Y78" i="20"/>
  <c r="J17" i="30"/>
  <c r="W78" i="27"/>
  <c r="D17" i="30"/>
  <c r="C21" i="30"/>
  <c r="E22" i="30"/>
  <c r="V75" i="20"/>
  <c r="C33" i="30"/>
  <c r="E34" i="30"/>
  <c r="E36" i="30"/>
  <c r="E40" i="30"/>
  <c r="C44" i="30"/>
  <c r="C50" i="30"/>
  <c r="K34" i="30"/>
  <c r="K38" i="30"/>
  <c r="Y77" i="25"/>
  <c r="K42" i="30"/>
  <c r="Y79" i="25"/>
  <c r="K50" i="30"/>
  <c r="Y76" i="29"/>
  <c r="Y78" i="29"/>
  <c r="K18" i="30"/>
  <c r="Z76" i="20"/>
  <c r="L40" i="30"/>
  <c r="C6" i="30"/>
  <c r="X78" i="27"/>
  <c r="E17" i="30"/>
  <c r="D21" i="30"/>
  <c r="W75" i="20"/>
  <c r="D33" i="30"/>
  <c r="D44" i="30"/>
  <c r="D50" i="30"/>
  <c r="J33" i="30"/>
  <c r="L34" i="30"/>
  <c r="L38" i="30"/>
  <c r="Z77" i="25"/>
  <c r="L42" i="30"/>
  <c r="Z79" i="25"/>
  <c r="L50" i="30"/>
  <c r="J5" i="30"/>
  <c r="Z76" i="29"/>
  <c r="V77" i="29"/>
  <c r="J13" i="30"/>
  <c r="Z78" i="29"/>
  <c r="L18" i="30"/>
  <c r="V79" i="29"/>
  <c r="J19" i="30"/>
  <c r="S75" i="27"/>
  <c r="F5" i="30"/>
  <c r="F9" i="30"/>
  <c r="G5" i="30"/>
  <c r="G7" i="30"/>
  <c r="F10" i="30"/>
  <c r="AB20" i="10"/>
  <c r="AC3" i="10"/>
  <c r="F6" i="30"/>
  <c r="G6" i="30"/>
  <c r="F11" i="30"/>
  <c r="X75" i="27"/>
  <c r="X80" i="27"/>
  <c r="J8" i="27"/>
  <c r="J9" i="27"/>
  <c r="J10" i="27"/>
  <c r="J81" i="27" s="1"/>
  <c r="J11" i="27"/>
  <c r="S30" i="27"/>
  <c r="R30" i="27"/>
  <c r="Y75" i="27"/>
  <c r="Y80" i="27"/>
  <c r="J77" i="25"/>
  <c r="Z75" i="27"/>
  <c r="Z80" i="27"/>
  <c r="Q76" i="27"/>
  <c r="Q77" i="20"/>
  <c r="J76" i="29"/>
  <c r="I80" i="27"/>
  <c r="I81" i="27"/>
  <c r="AA75" i="27"/>
  <c r="AA80" i="27"/>
  <c r="R16" i="27"/>
  <c r="R17" i="27"/>
  <c r="R18" i="27"/>
  <c r="R19" i="27"/>
  <c r="R29" i="27"/>
  <c r="T76" i="20"/>
  <c r="S11" i="25"/>
  <c r="M35" i="30" s="1"/>
  <c r="S43" i="25"/>
  <c r="M43" i="30" s="1"/>
  <c r="S12" i="29"/>
  <c r="S20" i="20"/>
  <c r="F37" i="30" s="1"/>
  <c r="Q78" i="20"/>
  <c r="T76" i="27"/>
  <c r="J75" i="25"/>
  <c r="S10" i="25"/>
  <c r="J80" i="29"/>
  <c r="J81" i="29"/>
  <c r="J75" i="29"/>
  <c r="J78" i="29"/>
  <c r="T23" i="27"/>
  <c r="G10" i="30" s="1"/>
  <c r="J79" i="27"/>
  <c r="R77" i="25"/>
  <c r="Q78" i="29"/>
  <c r="T51" i="29"/>
  <c r="G27" i="9"/>
  <c r="R20" i="27"/>
  <c r="R21" i="27"/>
  <c r="R22" i="27"/>
  <c r="R23" i="27"/>
  <c r="S77" i="27"/>
  <c r="S75" i="20"/>
  <c r="S80" i="20"/>
  <c r="S71" i="20"/>
  <c r="F50" i="30" s="1"/>
  <c r="S9" i="25"/>
  <c r="J76" i="25"/>
  <c r="S41" i="25"/>
  <c r="Q79" i="25"/>
  <c r="T59" i="25"/>
  <c r="Q80" i="27"/>
  <c r="Q81" i="27"/>
  <c r="Q82" i="27" s="1"/>
  <c r="Q75" i="27"/>
  <c r="I75" i="27"/>
  <c r="Q81" i="20"/>
  <c r="S73" i="25"/>
  <c r="S55" i="29"/>
  <c r="M18" i="30" s="1"/>
  <c r="I79" i="29"/>
  <c r="R3" i="27"/>
  <c r="I76" i="27"/>
  <c r="S49" i="27"/>
  <c r="F16" i="30" s="1"/>
  <c r="S23" i="20"/>
  <c r="T80" i="25"/>
  <c r="T75" i="25"/>
  <c r="S70" i="20"/>
  <c r="S8" i="25"/>
  <c r="S40" i="25"/>
  <c r="S72" i="25"/>
  <c r="T75" i="27"/>
  <c r="S31" i="27"/>
  <c r="F12" i="30" s="1"/>
  <c r="R31" i="27"/>
  <c r="T34" i="27"/>
  <c r="G12" i="30" s="1"/>
  <c r="S15" i="29"/>
  <c r="V75" i="27"/>
  <c r="V80" i="27"/>
  <c r="X75" i="20"/>
  <c r="X80" i="20"/>
  <c r="Q80" i="20"/>
  <c r="V80" i="25"/>
  <c r="V75" i="25"/>
  <c r="S71" i="29"/>
  <c r="J79" i="29"/>
  <c r="W75" i="27"/>
  <c r="W80" i="27"/>
  <c r="T38" i="27"/>
  <c r="I77" i="27"/>
  <c r="J78" i="27"/>
  <c r="S69" i="20"/>
  <c r="Q76" i="25"/>
  <c r="Q78" i="25"/>
  <c r="S14" i="29"/>
  <c r="S72" i="29"/>
  <c r="S73" i="29"/>
  <c r="S74" i="29"/>
  <c r="Q76" i="29"/>
  <c r="Q80" i="29"/>
  <c r="R64" i="27"/>
  <c r="R65" i="27"/>
  <c r="R66" i="27"/>
  <c r="R56" i="25"/>
  <c r="R57" i="25"/>
  <c r="R58" i="25"/>
  <c r="R59" i="25"/>
  <c r="R79" i="25" s="1"/>
  <c r="Y80" i="25"/>
  <c r="Q79" i="27"/>
  <c r="Z80" i="25"/>
  <c r="I75" i="29"/>
  <c r="R16" i="20"/>
  <c r="R17" i="20"/>
  <c r="R18" i="20"/>
  <c r="R19" i="20"/>
  <c r="R64" i="20"/>
  <c r="R65" i="20"/>
  <c r="R66" i="20"/>
  <c r="R67" i="20"/>
  <c r="T80" i="20"/>
  <c r="R4" i="25"/>
  <c r="R80" i="25" s="1"/>
  <c r="R5" i="25"/>
  <c r="R6" i="25"/>
  <c r="R7" i="25"/>
  <c r="W75" i="25"/>
  <c r="AA80" i="25"/>
  <c r="Q75" i="20"/>
  <c r="V80" i="20"/>
  <c r="I81" i="25"/>
  <c r="Q75" i="29"/>
  <c r="Q79" i="29"/>
  <c r="W80" i="20"/>
  <c r="J81" i="25"/>
  <c r="R35" i="27"/>
  <c r="J40" i="27"/>
  <c r="J80" i="27" s="1"/>
  <c r="J41" i="27"/>
  <c r="J42" i="27"/>
  <c r="Q78" i="27"/>
  <c r="Q77" i="25"/>
  <c r="Q81" i="25"/>
  <c r="Q82" i="25" s="1"/>
  <c r="R39" i="27"/>
  <c r="R45" i="27"/>
  <c r="R68" i="27"/>
  <c r="R69" i="27"/>
  <c r="R70" i="27"/>
  <c r="R71" i="27"/>
  <c r="R8" i="20"/>
  <c r="R9" i="20"/>
  <c r="R10" i="20"/>
  <c r="R11" i="20"/>
  <c r="R40" i="20"/>
  <c r="R41" i="20"/>
  <c r="R42" i="20"/>
  <c r="R56" i="20"/>
  <c r="R57" i="20"/>
  <c r="R58" i="20"/>
  <c r="R59" i="20"/>
  <c r="Y80" i="20"/>
  <c r="T19" i="25"/>
  <c r="R28" i="25"/>
  <c r="R29" i="25"/>
  <c r="R30" i="25"/>
  <c r="R31" i="25"/>
  <c r="Z80" i="20"/>
  <c r="I80" i="25"/>
  <c r="AA80" i="20"/>
  <c r="J80" i="25"/>
  <c r="T3" i="29"/>
  <c r="T35" i="29"/>
  <c r="R36" i="27"/>
  <c r="Q80" i="25"/>
  <c r="I81" i="29"/>
  <c r="R44" i="27"/>
  <c r="R60" i="27"/>
  <c r="R61" i="27"/>
  <c r="R62" i="27"/>
  <c r="R63" i="27"/>
  <c r="R79" i="27" s="1"/>
  <c r="R3" i="20"/>
  <c r="R32" i="20"/>
  <c r="R33" i="20"/>
  <c r="R34" i="20"/>
  <c r="R35" i="20"/>
  <c r="R48" i="20"/>
  <c r="R49" i="20"/>
  <c r="R50" i="20"/>
  <c r="R51" i="20"/>
  <c r="R20" i="25"/>
  <c r="R21" i="25"/>
  <c r="R22" i="25"/>
  <c r="R76" i="25" s="1"/>
  <c r="R23" i="25"/>
  <c r="R52" i="25"/>
  <c r="R53" i="25"/>
  <c r="R54" i="25"/>
  <c r="R55" i="25"/>
  <c r="Q75" i="25"/>
  <c r="S80" i="29" l="1"/>
  <c r="S78" i="29"/>
  <c r="S75" i="29"/>
  <c r="M23" i="30" s="1"/>
  <c r="C35" i="9"/>
  <c r="S77" i="29"/>
  <c r="L26" i="30"/>
  <c r="K26" i="30"/>
  <c r="M8" i="30"/>
  <c r="M5" i="30"/>
  <c r="Q82" i="29"/>
  <c r="M7" i="30"/>
  <c r="M6" i="30"/>
  <c r="T79" i="29"/>
  <c r="N19" i="30"/>
  <c r="M16" i="30"/>
  <c r="M15" i="30"/>
  <c r="M24" i="30"/>
  <c r="M22" i="30"/>
  <c r="S79" i="29"/>
  <c r="M28" i="30" s="1"/>
  <c r="F38" i="30"/>
  <c r="F53" i="30"/>
  <c r="F17" i="9"/>
  <c r="T75" i="20"/>
  <c r="G51" i="30" s="1"/>
  <c r="S79" i="20"/>
  <c r="F47" i="30"/>
  <c r="Q82" i="20"/>
  <c r="F39" i="30"/>
  <c r="T77" i="20"/>
  <c r="G17" i="9" s="1"/>
  <c r="S78" i="20"/>
  <c r="F45" i="30"/>
  <c r="S76" i="20"/>
  <c r="F16" i="9" s="1"/>
  <c r="R77" i="20"/>
  <c r="R79" i="20"/>
  <c r="G19" i="9"/>
  <c r="G55" i="30"/>
  <c r="M56" i="30"/>
  <c r="M48" i="30"/>
  <c r="R78" i="25"/>
  <c r="J25" i="30"/>
  <c r="C37" i="9"/>
  <c r="D27" i="9"/>
  <c r="K53" i="30"/>
  <c r="C36" i="9"/>
  <c r="J24" i="30"/>
  <c r="D17" i="9"/>
  <c r="D53" i="30"/>
  <c r="D6" i="9"/>
  <c r="D24" i="30"/>
  <c r="C28" i="30"/>
  <c r="C10" i="9"/>
  <c r="L25" i="30"/>
  <c r="E37" i="9"/>
  <c r="D19" i="9"/>
  <c r="L56" i="30"/>
  <c r="E30" i="9"/>
  <c r="D28" i="9"/>
  <c r="K54" i="30"/>
  <c r="L28" i="30"/>
  <c r="E40" i="9"/>
  <c r="C51" i="30"/>
  <c r="C15" i="9"/>
  <c r="K55" i="30"/>
  <c r="D29" i="9"/>
  <c r="D7" i="9"/>
  <c r="D25" i="30"/>
  <c r="D16" i="9"/>
  <c r="D52" i="30"/>
  <c r="K52" i="30"/>
  <c r="D26" i="9"/>
  <c r="K27" i="30"/>
  <c r="D39" i="9"/>
  <c r="E28" i="30"/>
  <c r="E10" i="9"/>
  <c r="E20" i="9"/>
  <c r="E56" i="30"/>
  <c r="C6" i="9"/>
  <c r="C24" i="30"/>
  <c r="C39" i="9"/>
  <c r="J27" i="30"/>
  <c r="C20" i="9"/>
  <c r="C56" i="30"/>
  <c r="E7" i="9"/>
  <c r="E25" i="30"/>
  <c r="K28" i="30"/>
  <c r="D40" i="9"/>
  <c r="E27" i="9"/>
  <c r="L53" i="30"/>
  <c r="L23" i="30"/>
  <c r="E35" i="9"/>
  <c r="D36" i="9"/>
  <c r="K24" i="30"/>
  <c r="C30" i="9"/>
  <c r="J56" i="30"/>
  <c r="J28" i="30"/>
  <c r="C40" i="9"/>
  <c r="E6" i="9"/>
  <c r="E24" i="30"/>
  <c r="C27" i="9"/>
  <c r="J53" i="30"/>
  <c r="E28" i="9"/>
  <c r="L54" i="30"/>
  <c r="D9" i="9"/>
  <c r="D27" i="30"/>
  <c r="E29" i="9"/>
  <c r="L55" i="30"/>
  <c r="J55" i="30"/>
  <c r="C29" i="9"/>
  <c r="C17" i="9"/>
  <c r="C53" i="30"/>
  <c r="L52" i="30"/>
  <c r="E26" i="9"/>
  <c r="D15" i="9"/>
  <c r="D51" i="30"/>
  <c r="L27" i="30"/>
  <c r="E39" i="9"/>
  <c r="K56" i="30"/>
  <c r="D30" i="9"/>
  <c r="C26" i="9"/>
  <c r="J52" i="30"/>
  <c r="E55" i="30"/>
  <c r="E19" i="9"/>
  <c r="E25" i="9"/>
  <c r="L51" i="30"/>
  <c r="K25" i="30"/>
  <c r="D37" i="9"/>
  <c r="C7" i="9"/>
  <c r="C25" i="30"/>
  <c r="C55" i="30"/>
  <c r="C19" i="9"/>
  <c r="C16" i="9"/>
  <c r="C52" i="30"/>
  <c r="D20" i="9"/>
  <c r="D56" i="30"/>
  <c r="E9" i="9"/>
  <c r="E27" i="30"/>
  <c r="E36" i="9"/>
  <c r="L24" i="30"/>
  <c r="E17" i="9"/>
  <c r="E53" i="30"/>
  <c r="D28" i="30"/>
  <c r="D10" i="9"/>
  <c r="K23" i="30"/>
  <c r="D35" i="9"/>
  <c r="C9" i="9"/>
  <c r="C27" i="30"/>
  <c r="J23" i="30"/>
  <c r="E16" i="9"/>
  <c r="E52" i="30"/>
  <c r="C25" i="9"/>
  <c r="J51" i="30"/>
  <c r="F52" i="30"/>
  <c r="C28" i="9"/>
  <c r="J54" i="30"/>
  <c r="F18" i="9"/>
  <c r="F54" i="30"/>
  <c r="D25" i="9"/>
  <c r="K51" i="30"/>
  <c r="F15" i="9"/>
  <c r="F51" i="30"/>
  <c r="R76" i="27"/>
  <c r="AC4" i="10"/>
  <c r="E18" i="9"/>
  <c r="E54" i="30"/>
  <c r="F7" i="9"/>
  <c r="F25" i="30"/>
  <c r="J75" i="27"/>
  <c r="E15" i="9"/>
  <c r="E51" i="30"/>
  <c r="R75" i="25"/>
  <c r="C5" i="9"/>
  <c r="C23" i="30"/>
  <c r="R81" i="25"/>
  <c r="R82" i="25" s="1"/>
  <c r="G18" i="9"/>
  <c r="G54" i="30"/>
  <c r="G25" i="9"/>
  <c r="N51" i="30"/>
  <c r="R81" i="20"/>
  <c r="R82" i="20" s="1"/>
  <c r="R75" i="20"/>
  <c r="R80" i="20"/>
  <c r="G24" i="30"/>
  <c r="G6" i="9"/>
  <c r="G28" i="9"/>
  <c r="N54" i="30"/>
  <c r="J77" i="27"/>
  <c r="T78" i="29"/>
  <c r="N17" i="30"/>
  <c r="R77" i="27"/>
  <c r="R78" i="20"/>
  <c r="D54" i="30"/>
  <c r="D18" i="9"/>
  <c r="D8" i="9"/>
  <c r="D26" i="30"/>
  <c r="N5" i="30"/>
  <c r="C26" i="30"/>
  <c r="C8" i="9"/>
  <c r="T77" i="29"/>
  <c r="N13" i="30"/>
  <c r="D5" i="9"/>
  <c r="D23" i="30"/>
  <c r="T79" i="25"/>
  <c r="N47" i="30"/>
  <c r="T76" i="25"/>
  <c r="N37" i="30"/>
  <c r="R76" i="20"/>
  <c r="G15" i="9"/>
  <c r="G53" i="30"/>
  <c r="E8" i="9"/>
  <c r="E26" i="30"/>
  <c r="S76" i="27"/>
  <c r="T80" i="27"/>
  <c r="G52" i="30"/>
  <c r="G16" i="9"/>
  <c r="E5" i="9"/>
  <c r="E23" i="30"/>
  <c r="G23" i="30"/>
  <c r="G5" i="9"/>
  <c r="S80" i="27"/>
  <c r="C54" i="30"/>
  <c r="C18" i="9"/>
  <c r="R80" i="27"/>
  <c r="R81" i="27"/>
  <c r="R82" i="27" s="1"/>
  <c r="R75" i="27"/>
  <c r="F23" i="30"/>
  <c r="F5" i="9"/>
  <c r="AN3" i="10"/>
  <c r="AP3" i="10"/>
  <c r="AJ3" i="10"/>
  <c r="AL3" i="10"/>
  <c r="AE3" i="10"/>
  <c r="AI3" i="10"/>
  <c r="AG3" i="10"/>
  <c r="AO3" i="10"/>
  <c r="AD3" i="10"/>
  <c r="AK3" i="10"/>
  <c r="AQ3" i="10"/>
  <c r="AF3" i="10"/>
  <c r="F38" i="9" l="1"/>
  <c r="F35" i="9"/>
  <c r="E38" i="9"/>
  <c r="D38" i="9"/>
  <c r="G40" i="9"/>
  <c r="N28" i="30"/>
  <c r="M25" i="30"/>
  <c r="F37" i="9"/>
  <c r="F40" i="9"/>
  <c r="F19" i="9"/>
  <c r="F55" i="30"/>
  <c r="F20" i="9"/>
  <c r="F56" i="30"/>
  <c r="G37" i="9"/>
  <c r="N25" i="30"/>
  <c r="G26" i="9"/>
  <c r="N52" i="30"/>
  <c r="F8" i="9"/>
  <c r="F26" i="30"/>
  <c r="G38" i="9"/>
  <c r="N26" i="30"/>
  <c r="G35" i="9"/>
  <c r="N23" i="30"/>
  <c r="M27" i="30"/>
  <c r="F39" i="9"/>
  <c r="G30" i="9"/>
  <c r="N56" i="30"/>
  <c r="G26" i="30"/>
  <c r="G8" i="9"/>
  <c r="N27" i="30"/>
  <c r="G39" i="9"/>
  <c r="F24" i="30"/>
  <c r="F6" i="9"/>
  <c r="AC5" i="10"/>
  <c r="AJ4" i="10"/>
  <c r="AG4" i="10"/>
  <c r="AF4" i="10"/>
  <c r="AD4" i="10"/>
  <c r="AI4" i="10"/>
  <c r="AE4" i="10"/>
  <c r="AP4" i="10"/>
  <c r="AO4" i="10"/>
  <c r="AK4" i="10"/>
  <c r="AL4" i="10"/>
  <c r="AQ4" i="10"/>
  <c r="AN4" i="10"/>
  <c r="M26" i="30" l="1"/>
  <c r="AC6" i="10"/>
  <c r="AI5" i="10"/>
  <c r="AI6" i="10"/>
  <c r="AK5" i="10"/>
  <c r="AO5" i="10"/>
  <c r="AD5" i="10"/>
  <c r="AK6" i="10"/>
  <c r="AE5" i="10"/>
  <c r="AP5" i="10"/>
  <c r="AL6" i="10"/>
  <c r="AG6" i="10"/>
  <c r="AN6" i="10"/>
  <c r="AE6" i="10"/>
  <c r="AL5" i="10"/>
  <c r="AF6" i="10"/>
  <c r="AD6" i="10"/>
  <c r="AN5" i="10"/>
  <c r="AF5" i="10"/>
  <c r="AG5" i="10"/>
  <c r="AO6" i="10"/>
  <c r="AP6" i="10"/>
  <c r="AQ5" i="10"/>
  <c r="AQ6" i="10"/>
  <c r="AJ6" i="10"/>
  <c r="AJ5" i="10"/>
  <c r="AD13" i="10" l="1"/>
  <c r="AD16" i="10" s="1"/>
  <c r="AD12" i="10"/>
  <c r="AD15" i="10" s="1"/>
  <c r="AE13" i="10"/>
  <c r="AE16" i="10" s="1"/>
  <c r="AE12" i="10"/>
  <c r="AE15" i="10" s="1"/>
  <c r="AF13" i="10"/>
  <c r="AF16" i="10" s="1"/>
  <c r="AF12" i="10"/>
  <c r="AF15" i="10" s="1"/>
  <c r="AG12" i="10"/>
  <c r="AG15" i="10" s="1"/>
  <c r="AG13" i="10"/>
  <c r="AG16" i="10" s="1"/>
  <c r="J26" i="30"/>
  <c r="C38" i="9"/>
</calcChain>
</file>

<file path=xl/sharedStrings.xml><?xml version="1.0" encoding="utf-8"?>
<sst xmlns="http://schemas.openxmlformats.org/spreadsheetml/2006/main" count="972" uniqueCount="402">
  <si>
    <t xml:space="preserve">All Intra Main10 </t>
  </si>
  <si>
    <t xml:space="preserve">Low delay P Main10 </t>
  </si>
  <si>
    <t>Y</t>
  </si>
  <si>
    <t>U</t>
  </si>
  <si>
    <t>V</t>
  </si>
  <si>
    <t>EncT</t>
  </si>
  <si>
    <t>DecT</t>
  </si>
  <si>
    <t>通甲</t>
  </si>
  <si>
    <t>通乙</t>
  </si>
  <si>
    <t>通丙</t>
  </si>
  <si>
    <t xml:space="preserve">Overall </t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</si>
  <si>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</si>
  <si>
    <r>
      <rPr>
        <b/>
        <sz val="9"/>
        <color indexed="8"/>
        <rFont val="宋体"/>
        <family val="3"/>
        <charset val="134"/>
      </rPr>
      <t>特乙</t>
    </r>
    <r>
      <rPr>
        <b/>
        <sz val="9"/>
        <color indexed="8"/>
        <rFont val="Arial"/>
        <family val="2"/>
      </rPr>
      <t xml:space="preserve"> (Optional)</t>
    </r>
  </si>
  <si>
    <t>Random Access Main 10</t>
  </si>
  <si>
    <t xml:space="preserve">Low delay B Main10 </t>
  </si>
  <si>
    <t>All Intra</t>
  </si>
  <si>
    <t>Reference:</t>
  </si>
  <si>
    <t>HPM8.0</t>
  </si>
  <si>
    <t>Tested:</t>
  </si>
  <si>
    <r>
      <rPr>
        <sz val="9"/>
        <color indexed="8"/>
        <rFont val="宋体"/>
        <family val="3"/>
        <charset val="134"/>
      </rPr>
      <t>通甲</t>
    </r>
    <r>
      <rPr>
        <sz val="9"/>
        <color indexed="8"/>
        <rFont val="Arial"/>
        <family val="2"/>
      </rPr>
      <t>4K</t>
    </r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</si>
  <si>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</si>
  <si>
    <r>
      <rPr>
        <sz val="9"/>
        <color indexed="8"/>
        <rFont val="宋体"/>
        <family val="3"/>
        <charset val="134"/>
      </rPr>
      <t>通丙</t>
    </r>
    <r>
      <rPr>
        <sz val="9"/>
        <color indexed="8"/>
        <rFont val="Arial"/>
        <family val="2"/>
      </rPr>
      <t>720P</t>
    </r>
  </si>
  <si>
    <t>Note: BD-rate is computed using piece-wise cubic interpolation</t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</si>
  <si>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</si>
  <si>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</si>
  <si>
    <t xml:space="preserve">Random Access </t>
  </si>
  <si>
    <t>Low delay B</t>
  </si>
  <si>
    <t xml:space="preserve">Low delay P </t>
  </si>
  <si>
    <t>Select the coding condition and sequence from the dropbox below</t>
  </si>
  <si>
    <t>Line 1 - Reference</t>
  </si>
  <si>
    <t>Line 2 - Test</t>
  </si>
  <si>
    <t>Line 3 - Reference2</t>
  </si>
  <si>
    <t>RA-10</t>
  </si>
  <si>
    <t>BlowingBubbles</t>
  </si>
  <si>
    <t>kbps</t>
  </si>
  <si>
    <t>Y psnr</t>
  </si>
  <si>
    <t>U psnr</t>
  </si>
  <si>
    <t>V psnr</t>
  </si>
  <si>
    <t>AI-10</t>
  </si>
  <si>
    <t>Tango2</t>
  </si>
  <si>
    <t>ParkRunning3</t>
  </si>
  <si>
    <t>LDB-10</t>
  </si>
  <si>
    <t>Campfire</t>
  </si>
  <si>
    <t>LDP-10</t>
  </si>
  <si>
    <t>DaylightRoad2</t>
  </si>
  <si>
    <t>Cactus</t>
  </si>
  <si>
    <t>BasketballDrive</t>
  </si>
  <si>
    <t>MarketPlace</t>
  </si>
  <si>
    <t>RitualDance</t>
  </si>
  <si>
    <t>City</t>
  </si>
  <si>
    <t>rate</t>
  </si>
  <si>
    <t>y</t>
  </si>
  <si>
    <t>u</t>
  </si>
  <si>
    <t>v</t>
  </si>
  <si>
    <t>Crew</t>
  </si>
  <si>
    <t>Vidyo1</t>
  </si>
  <si>
    <t>Vidyo3</t>
  </si>
  <si>
    <t>MetroEntrance</t>
  </si>
  <si>
    <t>NightTraffic3</t>
  </si>
  <si>
    <t>BasketballPass</t>
  </si>
  <si>
    <t>BQSquare</t>
  </si>
  <si>
    <t>RaceHorses</t>
  </si>
  <si>
    <t>Reference</t>
  </si>
  <si>
    <t>Tested</t>
  </si>
  <si>
    <t>BD-rate (piecewise cubic)</t>
  </si>
  <si>
    <t>BD-rate (cubic)</t>
  </si>
  <si>
    <t>QPISlice</t>
  </si>
  <si>
    <t>Enc T [s]</t>
  </si>
  <si>
    <t>Dec T [s]</t>
  </si>
  <si>
    <t>Enc T [h]</t>
  </si>
  <si>
    <t>EncR</t>
  </si>
  <si>
    <t>DecR</t>
  </si>
  <si>
    <t>4K</t>
  </si>
  <si>
    <t>1080p</t>
  </si>
  <si>
    <t>720p</t>
  </si>
  <si>
    <t>vidyo1</t>
  </si>
  <si>
    <t>vidyo3</t>
  </si>
  <si>
    <t>特甲</t>
  </si>
  <si>
    <t>特乙</t>
  </si>
  <si>
    <t>FlyingGraphics</t>
  </si>
  <si>
    <t>SCC</t>
  </si>
  <si>
    <t>Desktop</t>
  </si>
  <si>
    <t>ArenaOfValor</t>
  </si>
  <si>
    <t>program_vidyo</t>
  </si>
  <si>
    <t>ClassD</t>
  </si>
  <si>
    <t>All</t>
  </si>
  <si>
    <t>Time geomean</t>
  </si>
  <si>
    <t>Time ratio</t>
  </si>
  <si>
    <t>Time sum (hours)</t>
  </si>
  <si>
    <t>Enc</t>
  </si>
  <si>
    <t>Dec</t>
  </si>
  <si>
    <t>ClassEOld</t>
  </si>
  <si>
    <t>vidyo4</t>
  </si>
  <si>
    <t>ClassE</t>
  </si>
  <si>
    <t>FourPeople</t>
  </si>
  <si>
    <t>Johnny</t>
  </si>
  <si>
    <t>KristenAndSara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</si>
  <si>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</si>
  <si>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</si>
  <si>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</si>
  <si>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</si>
  <si>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</si>
  <si>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</si>
  <si>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</si>
  <si>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</si>
  <si>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</si>
  <si>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</si>
  <si>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</si>
  <si>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</si>
  <si>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</si>
  <si>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</si>
  <si>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</si>
  <si>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</si>
  <si>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</si>
  <si>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</si>
  <si>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</si>
  <si>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</si>
  <si>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</si>
  <si>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</si>
  <si>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</si>
  <si>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</si>
  <si>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</si>
  <si>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</si>
  <si>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</si>
  <si>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</si>
  <si>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</si>
  <si>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</si>
  <si>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</si>
  <si>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</si>
  <si>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</si>
  <si>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</si>
  <si>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</si>
  <si>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</si>
  <si>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</si>
  <si>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</si>
  <si>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</si>
  <si>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</si>
  <si>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</si>
  <si>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</si>
  <si>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</si>
  <si>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</si>
  <si>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</si>
  <si>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</si>
  <si>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</si>
  <si>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</si>
  <si>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</si>
  <si>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</si>
  <si>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</si>
  <si>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</si>
  <si>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</si>
  <si>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</si>
  <si>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</si>
  <si>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</si>
  <si>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</si>
  <si>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</si>
  <si>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</si>
  <si>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</si>
  <si>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</si>
  <si>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</si>
  <si>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</si>
  <si>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</si>
  <si>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</si>
  <si>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</si>
  <si>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</si>
  <si>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</si>
  <si>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</si>
  <si>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</si>
  <si>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</si>
  <si>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</si>
  <si>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</si>
  <si>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</si>
  <si>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</si>
  <si>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</si>
  <si>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</si>
  <si>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</si>
  <si>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</si>
  <si>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</si>
  <si>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</si>
  <si>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</si>
  <si>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</si>
  <si>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</si>
  <si>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</si>
  <si>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</si>
  <si>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</si>
  <si>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</si>
  <si>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</si>
  <si>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</si>
  <si>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</si>
  <si>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</si>
  <si>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</si>
  <si>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</si>
  <si>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</si>
  <si>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</si>
  <si>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</si>
  <si>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</si>
  <si>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</si>
  <si>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</si>
  <si>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</si>
  <si>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</si>
  <si>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</si>
  <si>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</si>
  <si>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</si>
  <si>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</si>
  <si>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</si>
  <si>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</si>
  <si>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</si>
  <si>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</si>
  <si>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</si>
  <si>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</si>
  <si>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</si>
  <si>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</si>
  <si>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</si>
  <si>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</si>
  <si>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</si>
  <si>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</si>
  <si>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</si>
  <si>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</si>
  <si>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</si>
  <si>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</si>
  <si>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</si>
  <si>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</si>
  <si>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</si>
  <si>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</si>
  <si>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</si>
  <si>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</si>
  <si>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</si>
  <si>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</si>
  <si>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</si>
  <si>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</si>
  <si>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</si>
  <si>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</si>
  <si>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</si>
  <si>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</si>
  <si>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</si>
  <si>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</si>
  <si>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</si>
  <si>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</si>
  <si>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</si>
  <si>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</si>
  <si>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</si>
  <si>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</si>
  <si>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</si>
  <si>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</si>
  <si>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</si>
  <si>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</si>
  <si>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</si>
  <si>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</si>
  <si>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</si>
  <si>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</si>
  <si>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</si>
  <si>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</si>
  <si>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</si>
  <si>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</si>
  <si>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</si>
  <si>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</si>
  <si>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</si>
  <si>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</si>
  <si>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</si>
  <si>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</si>
  <si>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</si>
  <si>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</si>
  <si>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</si>
  <si>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</si>
  <si>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</si>
  <si>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</si>
  <si>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</si>
  <si>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</si>
  <si>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</si>
  <si>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</si>
  <si>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</si>
  <si>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</si>
  <si>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</si>
  <si>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</si>
  <si>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</si>
  <si>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</si>
  <si>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</si>
  <si>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</si>
  <si>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</si>
  <si>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</si>
  <si>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</si>
  <si>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</si>
  <si>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</si>
  <si>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</si>
  <si>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</si>
  <si>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</si>
  <si>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</si>
  <si>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</si>
  <si>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</si>
  <si>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</si>
  <si>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</si>
  <si>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</si>
  <si>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</si>
  <si>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</si>
  <si>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</si>
  <si>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</si>
  <si>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</si>
  <si>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</si>
  <si>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</si>
  <si>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</si>
  <si>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</si>
  <si>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</si>
  <si>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</si>
  <si>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</si>
  <si>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</si>
  <si>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</si>
  <si>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</si>
  <si>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</si>
  <si>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</si>
  <si>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</si>
  <si>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</si>
  <si>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</si>
  <si>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</si>
  <si>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</si>
  <si>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</si>
  <si>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</si>
  <si>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</si>
  <si>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</si>
  <si>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</si>
  <si>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</si>
  <si>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</si>
  <si>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</si>
  <si>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</si>
  <si>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</si>
  <si>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</si>
  <si>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</si>
  <si>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</si>
  <si>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</si>
  <si>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</si>
  <si>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</si>
  <si>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</si>
  <si>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</si>
  <si>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</si>
  <si>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</si>
  <si>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</si>
  <si>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</si>
  <si>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</si>
  <si>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</si>
  <si>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</si>
  <si>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</si>
  <si>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</si>
  <si>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</si>
  <si>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</si>
  <si>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</si>
  <si>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</si>
  <si>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</si>
  <si>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</si>
  <si>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</si>
  <si>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</si>
  <si>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</si>
  <si>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</si>
  <si>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</si>
  <si>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</si>
  <si>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</si>
  <si>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</si>
  <si>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</si>
  <si>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</si>
  <si>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</si>
  <si>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</si>
  <si>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</si>
  <si>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</si>
  <si>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</si>
  <si>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</si>
  <si>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</si>
  <si>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</si>
  <si>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</si>
  <si>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</si>
  <si>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</si>
  <si>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</si>
  <si>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</si>
  <si>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</si>
  <si>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</si>
  <si>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</si>
  <si>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</si>
  <si>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</si>
  <si>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</si>
  <si>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</si>
  <si>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</si>
  <si>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</si>
  <si>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</si>
  <si>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</si>
  <si>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</si>
  <si>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</si>
  <si>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</si>
  <si>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</si>
  <si>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</si>
  <si>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</si>
  <si>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</si>
  <si>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</si>
  <si>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</si>
  <si>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</si>
  <si>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</si>
  <si>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</si>
  <si>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</si>
  <si>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</si>
  <si>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</si>
  <si>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</si>
  <si>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</si>
  <si>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</si>
  <si>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</si>
  <si>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</si>
  <si>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</si>
  <si>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vidyo4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</si>
</sst>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charset val="129"/>
      <scheme val="minor"/>
    </font>
    <font>
      <sz val="12"/>
      <color theme="1"/>
      <name val="宋体"/>
      <family val="3"/>
      <charset val="134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8"/>
      <name val="宋体"/>
      <family val="3"/>
      <charset val="134"/>
    </font>
    <font>
      <sz val="9"/>
      <name val="Arial"/>
      <family val="2"/>
    </font>
    <font>
      <b/>
      <sz val="9"/>
      <name val="Arial"/>
      <family val="2"/>
    </font>
    <font>
      <sz val="9"/>
      <name val="宋体"/>
      <family val="3"/>
      <charset val="134"/>
    </font>
    <font>
      <sz val="10"/>
      <color indexed="8"/>
      <name val="Calibri"/>
      <family val="2"/>
    </font>
    <font>
      <b/>
      <u/>
      <sz val="9"/>
      <color indexed="8"/>
      <name val="Arial"/>
      <family val="2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1" fillId="0" borderId="0">
      <alignment vertical="center"/>
    </xf>
  </cellStyleXfs>
  <cellXfs count="215">
    <xf numFmtId="0" fontId="0" fillId="0" borderId="0" xfId="0"/>
    <xf numFmtId="0" fontId="1" fillId="0" borderId="0" xfId="0" applyFont="1"/>
    <xf numFmtId="176" fontId="0" fillId="0" borderId="0" xfId="0" applyNumberFormat="1"/>
    <xf numFmtId="0" fontId="2" fillId="0" borderId="0" xfId="0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4" fillId="0" borderId="6" xfId="0" applyFont="1" applyBorder="1"/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0" fontId="2" fillId="0" borderId="7" xfId="0" applyFont="1" applyBorder="1"/>
    <xf numFmtId="0" fontId="2" fillId="0" borderId="8" xfId="0" applyFont="1" applyBorder="1"/>
    <xf numFmtId="176" fontId="2" fillId="2" borderId="9" xfId="0" applyNumberFormat="1" applyFont="1" applyFill="1" applyBorder="1"/>
    <xf numFmtId="176" fontId="2" fillId="2" borderId="0" xfId="0" applyNumberFormat="1" applyFont="1" applyFill="1" applyBorder="1"/>
    <xf numFmtId="0" fontId="2" fillId="0" borderId="10" xfId="0" applyFont="1" applyBorder="1"/>
    <xf numFmtId="0" fontId="2" fillId="0" borderId="11" xfId="0" applyFont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0" fontId="2" fillId="0" borderId="7" xfId="0" applyFont="1" applyFill="1" applyBorder="1"/>
    <xf numFmtId="0" fontId="2" fillId="0" borderId="5" xfId="0" applyFont="1" applyFill="1" applyBorder="1"/>
    <xf numFmtId="0" fontId="2" fillId="0" borderId="8" xfId="0" applyFont="1" applyFill="1" applyBorder="1"/>
    <xf numFmtId="0" fontId="2" fillId="0" borderId="10" xfId="0" applyFont="1" applyFill="1" applyBorder="1"/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176" fontId="2" fillId="2" borderId="5" xfId="0" applyNumberFormat="1" applyFont="1" applyFill="1" applyBorder="1"/>
    <xf numFmtId="176" fontId="2" fillId="2" borderId="8" xfId="0" applyNumberFormat="1" applyFont="1" applyFill="1" applyBorder="1"/>
    <xf numFmtId="176" fontId="2" fillId="2" borderId="10" xfId="0" applyNumberFormat="1" applyFont="1" applyFill="1" applyBorder="1"/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2" fontId="2" fillId="0" borderId="5" xfId="0" applyNumberFormat="1" applyFont="1" applyBorder="1"/>
    <xf numFmtId="10" fontId="2" fillId="0" borderId="3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2" fontId="2" fillId="0" borderId="8" xfId="0" applyNumberFormat="1" applyFont="1" applyBorder="1"/>
    <xf numFmtId="10" fontId="2" fillId="0" borderId="9" xfId="0" applyNumberFormat="1" applyFont="1" applyBorder="1"/>
    <xf numFmtId="10" fontId="2" fillId="0" borderId="0" xfId="0" applyNumberFormat="1" applyFont="1" applyBorder="1"/>
    <xf numFmtId="10" fontId="2" fillId="0" borderId="8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10" fontId="2" fillId="0" borderId="10" xfId="0" applyNumberFormat="1" applyFont="1" applyBorder="1"/>
    <xf numFmtId="2" fontId="2" fillId="0" borderId="10" xfId="0" applyNumberFormat="1" applyFont="1" applyBorder="1"/>
    <xf numFmtId="10" fontId="2" fillId="0" borderId="9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8" xfId="0" applyNumberFormat="1" applyFont="1" applyBorder="1" applyAlignment="1">
      <alignment horizontal="center"/>
    </xf>
    <xf numFmtId="0" fontId="4" fillId="0" borderId="0" xfId="0" applyFont="1"/>
    <xf numFmtId="0" fontId="2" fillId="0" borderId="1" xfId="0" applyFont="1" applyBorder="1"/>
    <xf numFmtId="0" fontId="2" fillId="0" borderId="2" xfId="0" applyFont="1" applyBorder="1"/>
    <xf numFmtId="2" fontId="2" fillId="0" borderId="0" xfId="0" applyNumberFormat="1" applyFont="1"/>
    <xf numFmtId="2" fontId="2" fillId="0" borderId="2" xfId="0" applyNumberFormat="1" applyFont="1" applyBorder="1"/>
    <xf numFmtId="176" fontId="2" fillId="0" borderId="0" xfId="0" applyNumberFormat="1" applyFont="1"/>
    <xf numFmtId="10" fontId="2" fillId="0" borderId="1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9" fontId="2" fillId="0" borderId="0" xfId="0" applyNumberFormat="1" applyFon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9" xfId="1" applyNumberFormat="1" applyFont="1" applyBorder="1"/>
    <xf numFmtId="10" fontId="2" fillId="0" borderId="0" xfId="1" applyNumberFormat="1" applyFont="1" applyBorder="1"/>
    <xf numFmtId="10" fontId="2" fillId="0" borderId="8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10" fontId="2" fillId="0" borderId="10" xfId="1" applyNumberFormat="1" applyFont="1" applyBorder="1"/>
    <xf numFmtId="0" fontId="5" fillId="0" borderId="0" xfId="0" applyFont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7" fillId="0" borderId="6" xfId="0" applyFont="1" applyBorder="1"/>
    <xf numFmtId="0" fontId="5" fillId="0" borderId="6" xfId="0" applyFont="1" applyBorder="1"/>
    <xf numFmtId="176" fontId="5" fillId="2" borderId="3" xfId="0" applyNumberFormat="1" applyFont="1" applyFill="1" applyBorder="1"/>
    <xf numFmtId="176" fontId="5" fillId="2" borderId="4" xfId="0" applyNumberFormat="1" applyFont="1" applyFill="1" applyBorder="1"/>
    <xf numFmtId="0" fontId="5" fillId="0" borderId="7" xfId="0" applyFont="1" applyBorder="1"/>
    <xf numFmtId="0" fontId="5" fillId="0" borderId="8" xfId="0" applyFont="1" applyBorder="1"/>
    <xf numFmtId="176" fontId="5" fillId="2" borderId="9" xfId="0" applyNumberFormat="1" applyFont="1" applyFill="1" applyBorder="1"/>
    <xf numFmtId="176" fontId="5" fillId="2" borderId="0" xfId="0" applyNumberFormat="1" applyFont="1" applyFill="1" applyBorder="1"/>
    <xf numFmtId="0" fontId="5" fillId="0" borderId="10" xfId="0" applyFont="1" applyBorder="1"/>
    <xf numFmtId="0" fontId="5" fillId="0" borderId="11" xfId="0" applyFont="1" applyBorder="1"/>
    <xf numFmtId="176" fontId="5" fillId="2" borderId="12" xfId="0" applyNumberFormat="1" applyFont="1" applyFill="1" applyBorder="1"/>
    <xf numFmtId="176" fontId="5" fillId="2" borderId="13" xfId="0" applyNumberFormat="1" applyFont="1" applyFill="1" applyBorder="1"/>
    <xf numFmtId="0" fontId="5" fillId="0" borderId="7" xfId="0" applyFont="1" applyFill="1" applyBorder="1"/>
    <xf numFmtId="0" fontId="5" fillId="0" borderId="5" xfId="0" applyFont="1" applyFill="1" applyBorder="1"/>
    <xf numFmtId="0" fontId="5" fillId="0" borderId="8" xfId="0" applyFont="1" applyFill="1" applyBorder="1"/>
    <xf numFmtId="0" fontId="5" fillId="0" borderId="10" xfId="0" applyFont="1" applyFill="1" applyBorder="1"/>
    <xf numFmtId="0" fontId="7" fillId="0" borderId="7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"/>
    </xf>
    <xf numFmtId="176" fontId="5" fillId="2" borderId="5" xfId="0" applyNumberFormat="1" applyFont="1" applyFill="1" applyBorder="1"/>
    <xf numFmtId="176" fontId="5" fillId="2" borderId="8" xfId="0" applyNumberFormat="1" applyFont="1" applyFill="1" applyBorder="1"/>
    <xf numFmtId="176" fontId="5" fillId="2" borderId="10" xfId="0" applyNumberFormat="1" applyFont="1" applyFill="1" applyBorder="1"/>
    <xf numFmtId="0" fontId="6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2" fontId="5" fillId="0" borderId="5" xfId="0" applyNumberFormat="1" applyFont="1" applyBorder="1"/>
    <xf numFmtId="10" fontId="5" fillId="0" borderId="4" xfId="0" applyNumberFormat="1" applyFont="1" applyBorder="1" applyAlignment="1">
      <alignment horizontal="center"/>
    </xf>
    <xf numFmtId="10" fontId="5" fillId="0" borderId="5" xfId="0" applyNumberFormat="1" applyFont="1" applyBorder="1" applyAlignment="1">
      <alignment horizontal="center"/>
    </xf>
    <xf numFmtId="2" fontId="5" fillId="0" borderId="8" xfId="0" applyNumberFormat="1" applyFont="1" applyBorder="1"/>
    <xf numFmtId="10" fontId="5" fillId="0" borderId="0" xfId="0" applyNumberFormat="1" applyFont="1" applyBorder="1"/>
    <xf numFmtId="10" fontId="5" fillId="0" borderId="8" xfId="0" applyNumberFormat="1" applyFont="1" applyBorder="1"/>
    <xf numFmtId="10" fontId="5" fillId="0" borderId="13" xfId="0" applyNumberFormat="1" applyFont="1" applyBorder="1"/>
    <xf numFmtId="10" fontId="5" fillId="0" borderId="10" xfId="0" applyNumberFormat="1" applyFont="1" applyBorder="1"/>
    <xf numFmtId="2" fontId="5" fillId="0" borderId="10" xfId="0" applyNumberFormat="1" applyFont="1" applyBorder="1"/>
    <xf numFmtId="10" fontId="5" fillId="0" borderId="3" xfId="0" applyNumberFormat="1" applyFont="1" applyBorder="1" applyAlignment="1">
      <alignment horizontal="center"/>
    </xf>
    <xf numFmtId="10" fontId="5" fillId="0" borderId="9" xfId="0" applyNumberFormat="1" applyFont="1" applyBorder="1"/>
    <xf numFmtId="10" fontId="5" fillId="0" borderId="12" xfId="0" applyNumberFormat="1" applyFont="1" applyBorder="1"/>
    <xf numFmtId="10" fontId="5" fillId="0" borderId="9" xfId="0" applyNumberFormat="1" applyFont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10" fontId="5" fillId="0" borderId="8" xfId="0" applyNumberFormat="1" applyFont="1" applyBorder="1" applyAlignment="1">
      <alignment horizontal="center"/>
    </xf>
    <xf numFmtId="0" fontId="7" fillId="0" borderId="0" xfId="0" applyFont="1"/>
    <xf numFmtId="0" fontId="5" fillId="0" borderId="1" xfId="0" applyFont="1" applyBorder="1"/>
    <xf numFmtId="0" fontId="5" fillId="0" borderId="2" xfId="0" applyFont="1" applyBorder="1"/>
    <xf numFmtId="2" fontId="5" fillId="0" borderId="0" xfId="0" applyNumberFormat="1" applyFont="1"/>
    <xf numFmtId="2" fontId="5" fillId="0" borderId="2" xfId="0" applyNumberFormat="1" applyFont="1" applyBorder="1"/>
    <xf numFmtId="176" fontId="5" fillId="0" borderId="0" xfId="0" applyNumberFormat="1" applyFont="1"/>
    <xf numFmtId="10" fontId="5" fillId="0" borderId="1" xfId="0" applyNumberFormat="1" applyFont="1" applyBorder="1" applyAlignment="1">
      <alignment horizontal="center"/>
    </xf>
    <xf numFmtId="10" fontId="5" fillId="0" borderId="2" xfId="0" applyNumberFormat="1" applyFont="1" applyBorder="1" applyAlignment="1">
      <alignment horizontal="center"/>
    </xf>
    <xf numFmtId="10" fontId="5" fillId="0" borderId="14" xfId="0" applyNumberFormat="1" applyFont="1" applyBorder="1" applyAlignment="1">
      <alignment horizontal="center"/>
    </xf>
    <xf numFmtId="9" fontId="5" fillId="0" borderId="0" xfId="0" applyNumberFormat="1" applyFont="1"/>
    <xf numFmtId="0" fontId="0" fillId="0" borderId="0" xfId="0" applyBorder="1"/>
    <xf numFmtId="0" fontId="0" fillId="3" borderId="0" xfId="0" applyFill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/>
    <xf numFmtId="2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0" fontId="2" fillId="0" borderId="9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8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2" fillId="0" borderId="12" xfId="2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Border="1"/>
    <xf numFmtId="0" fontId="9" fillId="0" borderId="0" xfId="0" applyFont="1"/>
    <xf numFmtId="0" fontId="2" fillId="0" borderId="0" xfId="2" applyFont="1" applyBorder="1"/>
    <xf numFmtId="0" fontId="2" fillId="0" borderId="0" xfId="2" applyFont="1"/>
    <xf numFmtId="0" fontId="2" fillId="0" borderId="0" xfId="2" applyFont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2" fillId="0" borderId="15" xfId="2" applyFont="1" applyBorder="1" applyAlignment="1">
      <alignment horizontal="center" vertical="center"/>
    </xf>
    <xf numFmtId="0" fontId="2" fillId="0" borderId="16" xfId="2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3" fillId="0" borderId="6" xfId="2" applyFont="1" applyBorder="1" applyAlignment="1">
      <alignment horizontal="left" vertical="center"/>
    </xf>
    <xf numFmtId="10" fontId="2" fillId="0" borderId="3" xfId="2" applyNumberFormat="1" applyFont="1" applyBorder="1" applyAlignment="1">
      <alignment horizontal="center" vertical="center"/>
    </xf>
    <xf numFmtId="10" fontId="2" fillId="0" borderId="4" xfId="2" applyNumberFormat="1" applyFont="1" applyBorder="1" applyAlignment="1">
      <alignment horizontal="center" vertical="center"/>
    </xf>
    <xf numFmtId="10" fontId="2" fillId="0" borderId="17" xfId="2" applyNumberFormat="1" applyFont="1" applyBorder="1" applyAlignment="1">
      <alignment horizontal="center" vertical="center"/>
    </xf>
    <xf numFmtId="9" fontId="2" fillId="0" borderId="4" xfId="2" applyNumberFormat="1" applyFont="1" applyBorder="1" applyAlignment="1">
      <alignment horizontal="center" vertical="center"/>
    </xf>
    <xf numFmtId="9" fontId="2" fillId="0" borderId="5" xfId="2" applyNumberFormat="1" applyFont="1" applyBorder="1" applyAlignment="1">
      <alignment horizontal="center" vertical="center"/>
    </xf>
    <xf numFmtId="0" fontId="3" fillId="0" borderId="7" xfId="2" applyFont="1" applyBorder="1" applyAlignment="1">
      <alignment horizontal="left" vertical="center"/>
    </xf>
    <xf numFmtId="10" fontId="2" fillId="0" borderId="9" xfId="2" applyNumberFormat="1" applyFont="1" applyBorder="1" applyAlignment="1">
      <alignment horizontal="center" vertical="center"/>
    </xf>
    <xf numFmtId="10" fontId="2" fillId="0" borderId="0" xfId="2" applyNumberFormat="1" applyFont="1" applyBorder="1" applyAlignment="1">
      <alignment horizontal="center" vertical="center"/>
    </xf>
    <xf numFmtId="10" fontId="2" fillId="0" borderId="19" xfId="2" applyNumberFormat="1" applyFont="1" applyBorder="1" applyAlignment="1">
      <alignment horizontal="center" vertical="center"/>
    </xf>
    <xf numFmtId="9" fontId="2" fillId="0" borderId="0" xfId="2" applyNumberFormat="1" applyFont="1" applyBorder="1" applyAlignment="1">
      <alignment horizontal="center" vertical="center"/>
    </xf>
    <xf numFmtId="9" fontId="2" fillId="0" borderId="8" xfId="2" applyNumberFormat="1" applyFont="1" applyBorder="1" applyAlignment="1">
      <alignment horizontal="center" vertical="center"/>
    </xf>
    <xf numFmtId="9" fontId="2" fillId="0" borderId="20" xfId="2" applyNumberFormat="1" applyFont="1" applyBorder="1" applyAlignment="1">
      <alignment horizontal="center" vertical="center"/>
    </xf>
    <xf numFmtId="0" fontId="3" fillId="0" borderId="11" xfId="2" applyFont="1" applyBorder="1" applyAlignment="1">
      <alignment horizontal="left" vertical="center"/>
    </xf>
    <xf numFmtId="10" fontId="2" fillId="0" borderId="12" xfId="2" applyNumberFormat="1" applyFont="1" applyBorder="1" applyAlignment="1">
      <alignment horizontal="center" vertical="center"/>
    </xf>
    <xf numFmtId="10" fontId="2" fillId="0" borderId="13" xfId="2" applyNumberFormat="1" applyFont="1" applyBorder="1" applyAlignment="1">
      <alignment horizontal="center" vertical="center"/>
    </xf>
    <xf numFmtId="10" fontId="2" fillId="0" borderId="15" xfId="2" applyNumberFormat="1" applyFont="1" applyBorder="1" applyAlignment="1">
      <alignment horizontal="center" vertical="center"/>
    </xf>
    <xf numFmtId="9" fontId="2" fillId="0" borderId="13" xfId="2" applyNumberFormat="1" applyFont="1" applyBorder="1" applyAlignment="1">
      <alignment horizontal="center" vertical="center"/>
    </xf>
    <xf numFmtId="9" fontId="2" fillId="0" borderId="10" xfId="2" applyNumberFormat="1" applyFont="1" applyBorder="1" applyAlignment="1">
      <alignment horizontal="center" vertical="center"/>
    </xf>
    <xf numFmtId="0" fontId="10" fillId="0" borderId="6" xfId="2" applyFont="1" applyBorder="1" applyAlignment="1">
      <alignment horizontal="center" vertical="center"/>
    </xf>
    <xf numFmtId="9" fontId="2" fillId="0" borderId="18" xfId="2" applyNumberFormat="1" applyFont="1" applyBorder="1" applyAlignment="1">
      <alignment horizontal="center" vertical="center"/>
    </xf>
    <xf numFmtId="10" fontId="2" fillId="0" borderId="0" xfId="2" applyNumberFormat="1" applyFont="1" applyBorder="1"/>
    <xf numFmtId="0" fontId="10" fillId="0" borderId="7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10" fontId="2" fillId="0" borderId="1" xfId="2" applyNumberFormat="1" applyFont="1" applyBorder="1" applyAlignment="1">
      <alignment horizontal="center" vertical="center"/>
    </xf>
    <xf numFmtId="10" fontId="2" fillId="0" borderId="2" xfId="2" applyNumberFormat="1" applyFont="1" applyBorder="1" applyAlignment="1">
      <alignment horizontal="center" vertical="center"/>
    </xf>
    <xf numFmtId="10" fontId="2" fillId="0" borderId="23" xfId="2" applyNumberFormat="1" applyFont="1" applyBorder="1" applyAlignment="1">
      <alignment horizontal="center" vertical="center"/>
    </xf>
    <xf numFmtId="9" fontId="2" fillId="0" borderId="24" xfId="2" applyNumberFormat="1" applyFont="1" applyBorder="1" applyAlignment="1">
      <alignment horizontal="center" vertical="center"/>
    </xf>
    <xf numFmtId="9" fontId="2" fillId="0" borderId="14" xfId="2" applyNumberFormat="1" applyFont="1" applyBorder="1" applyAlignment="1">
      <alignment horizontal="center" vertical="center"/>
    </xf>
    <xf numFmtId="0" fontId="3" fillId="0" borderId="12" xfId="2" applyFont="1" applyBorder="1" applyAlignment="1">
      <alignment horizontal="center" vertical="center"/>
    </xf>
    <xf numFmtId="0" fontId="10" fillId="0" borderId="12" xfId="2" applyFont="1" applyBorder="1" applyAlignment="1">
      <alignment horizontal="center" vertical="center"/>
    </xf>
    <xf numFmtId="0" fontId="3" fillId="0" borderId="0" xfId="2" applyFont="1"/>
    <xf numFmtId="0" fontId="13" fillId="0" borderId="0" xfId="0" applyFont="1"/>
    <xf numFmtId="0" fontId="0" fillId="0" borderId="0" xfId="0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4" xfId="2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4">
    <cellStyle name="百分比" xfId="1" builtinId="5"/>
    <cellStyle name="常规" xfId="0" builtinId="0"/>
    <cellStyle name="常规 2" xfId="2" xr:uid="{00000000-0005-0000-0000-000031000000}"/>
    <cellStyle name="常规 3" xfId="3" xr:uid="{00000000-0005-0000-0000-000032000000}"/>
  </cellStyles>
  <dxfs count="864"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75" b="1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HPM8.0</c:v>
                </c:pt>
              </c:strCache>
            </c:strRef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rgbClr val="000000"/>
              </a:solidFill>
              <a:ln w="9525" cap="flat" cmpd="sng" algn="ctr">
                <a:solidFill>
                  <a:srgbClr val="000000"/>
                </a:solidFill>
                <a:prstDash val="solid"/>
                <a:round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0D-41F7-BA9E-3AA58794354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HPM8.0</c:v>
                </c:pt>
              </c:strCache>
            </c:strRef>
          </c:tx>
          <c:spPr>
            <a:ln w="12700" cap="rnd" cmpd="sng" algn="ctr">
              <a:solidFill>
                <a:srgbClr val="DD2D32"/>
              </a:solidFill>
              <a:prstDash val="solid"/>
              <a:round/>
            </a:ln>
          </c:spPr>
          <c:marker>
            <c:symbol val="square"/>
            <c:size val="5"/>
            <c:spPr>
              <a:solidFill>
                <a:srgbClr val="DD2D32"/>
              </a:solidFill>
              <a:ln w="9525" cap="flat" cmpd="sng" algn="ctr">
                <a:solidFill>
                  <a:srgbClr val="DD2D32"/>
                </a:solidFill>
                <a:prstDash val="solid"/>
                <a:round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0D-41F7-BA9E-3AA58794354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0D-41F7-BA9E-3AA587943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</c:spPr>
        </c:majorGridlines>
        <c:min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</c:spPr>
        </c:min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630" b="0" i="0" u="none" strike="noStrike" kern="1200" baseline="0">
              <a:solidFill>
                <a:srgbClr val="000000"/>
              </a:solidFill>
              <a:latin typeface="Arial" panose="020B0604020202020204"/>
              <a:ea typeface="Arial" panose="020B0604020202020204"/>
              <a:cs typeface="Arial" panose="020B0604020202020204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 cap="flat" cmpd="sng" algn="ctr">
      <a:solidFill>
        <a:srgbClr val="000000"/>
      </a:solidFill>
      <a:prstDash val="solid"/>
      <a:round/>
    </a:ln>
  </c:spPr>
  <c:txPr>
    <a:bodyPr/>
    <a:lstStyle/>
    <a:p>
      <a:pPr>
        <a:defRPr lang="zh-CN" sz="900" b="0" i="0" u="none" strike="noStrike" baseline="0">
          <a:solidFill>
            <a:srgbClr val="000000"/>
          </a:solidFill>
          <a:latin typeface="Arial" panose="020B0604020202020204"/>
          <a:ea typeface="Arial" panose="020B0604020202020204"/>
          <a:cs typeface="Arial" panose="020B0604020202020204"/>
        </a:defRPr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75" b="1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HPM8.0</c:v>
                </c:pt>
              </c:strCache>
            </c:strRef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rgbClr val="000000"/>
              </a:solidFill>
              <a:ln w="9525" cap="flat" cmpd="sng" algn="ctr">
                <a:solidFill>
                  <a:srgbClr val="000000"/>
                </a:solidFill>
                <a:prstDash val="solid"/>
                <a:round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F2-4B3A-9702-6FE6D53B0AFE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HPM8.0</c:v>
                </c:pt>
              </c:strCache>
            </c:strRef>
          </c:tx>
          <c:spPr>
            <a:ln w="12700" cap="rnd" cmpd="sng" algn="ctr">
              <a:solidFill>
                <a:srgbClr val="DD2D32"/>
              </a:solidFill>
              <a:prstDash val="solid"/>
              <a:round/>
            </a:ln>
          </c:spPr>
          <c:marker>
            <c:symbol val="square"/>
            <c:size val="5"/>
            <c:spPr>
              <a:solidFill>
                <a:srgbClr val="DD2D32"/>
              </a:solidFill>
              <a:ln w="9525" cap="flat" cmpd="sng" algn="ctr">
                <a:solidFill>
                  <a:srgbClr val="DD2D32"/>
                </a:solidFill>
                <a:prstDash val="solid"/>
                <a:round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F2-4B3A-9702-6FE6D53B0AFE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F2-4B3A-9702-6FE6D53B0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</c:spPr>
        </c:majorGridlines>
        <c:min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</c:spPr>
        </c:min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630" b="0" i="0" u="none" strike="noStrike" kern="1200" baseline="0">
              <a:solidFill>
                <a:srgbClr val="000000"/>
              </a:solidFill>
              <a:latin typeface="Arial" panose="020B0604020202020204"/>
              <a:ea typeface="Arial" panose="020B0604020202020204"/>
              <a:cs typeface="Arial" panose="020B0604020202020204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 cap="flat" cmpd="sng" algn="ctr">
      <a:solidFill>
        <a:srgbClr val="000000"/>
      </a:solidFill>
      <a:prstDash val="solid"/>
      <a:round/>
    </a:ln>
  </c:spPr>
  <c:txPr>
    <a:bodyPr/>
    <a:lstStyle/>
    <a:p>
      <a:pPr>
        <a:defRPr lang="zh-CN" sz="900" b="0" i="0" u="none" strike="noStrike" baseline="0">
          <a:solidFill>
            <a:srgbClr val="000000"/>
          </a:solidFill>
          <a:latin typeface="Arial" panose="020B0604020202020204"/>
          <a:ea typeface="Arial" panose="020B0604020202020204"/>
          <a:cs typeface="Arial" panose="020B0604020202020204"/>
        </a:defRPr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75" b="1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HPM8.0</c:v>
                </c:pt>
              </c:strCache>
            </c:strRef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rgbClr val="000000"/>
              </a:solidFill>
              <a:ln w="9525" cap="flat" cmpd="sng" algn="ctr">
                <a:solidFill>
                  <a:srgbClr val="000000"/>
                </a:solidFill>
                <a:prstDash val="solid"/>
                <a:round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96-46FD-876F-59FE46E8EF81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HPM8.0</c:v>
                </c:pt>
              </c:strCache>
            </c:strRef>
          </c:tx>
          <c:spPr>
            <a:ln w="12700" cap="rnd" cmpd="sng" algn="ctr">
              <a:solidFill>
                <a:srgbClr val="DD2D32"/>
              </a:solidFill>
              <a:prstDash val="solid"/>
              <a:round/>
            </a:ln>
          </c:spPr>
          <c:marker>
            <c:symbol val="square"/>
            <c:size val="5"/>
            <c:spPr>
              <a:solidFill>
                <a:srgbClr val="DD2D32"/>
              </a:solidFill>
              <a:ln w="9525" cap="flat" cmpd="sng" algn="ctr">
                <a:solidFill>
                  <a:srgbClr val="DD2D32"/>
                </a:solidFill>
                <a:prstDash val="solid"/>
                <a:round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96-46FD-876F-59FE46E8EF81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96-46FD-876F-59FE46E8E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</c:spPr>
        </c:majorGridlines>
        <c:min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</c:spPr>
        </c:min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630" b="0" i="0" u="none" strike="noStrike" kern="1200" baseline="0">
              <a:solidFill>
                <a:srgbClr val="000000"/>
              </a:solidFill>
              <a:latin typeface="Arial" panose="020B0604020202020204"/>
              <a:ea typeface="Arial" panose="020B0604020202020204"/>
              <a:cs typeface="Arial" panose="020B0604020202020204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 cap="flat" cmpd="sng" algn="ctr">
      <a:solidFill>
        <a:srgbClr val="000000"/>
      </a:solidFill>
      <a:prstDash val="solid"/>
      <a:round/>
    </a:ln>
  </c:spPr>
  <c:txPr>
    <a:bodyPr/>
    <a:lstStyle/>
    <a:p>
      <a:pPr>
        <a:defRPr lang="zh-CN" sz="900" b="0" i="0" u="none" strike="noStrike" baseline="0">
          <a:solidFill>
            <a:srgbClr val="000000"/>
          </a:solidFill>
          <a:latin typeface="Arial" panose="020B0604020202020204"/>
          <a:ea typeface="Arial" panose="020B0604020202020204"/>
          <a:cs typeface="Arial" panose="020B0604020202020204"/>
        </a:defRPr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75" b="1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HPM8.0</c:v>
                </c:pt>
              </c:strCache>
            </c:strRef>
          </c:tx>
          <c:spPr>
            <a:ln w="12700" cap="rnd" cmpd="sng" algn="ctr">
              <a:solidFill>
                <a:srgbClr val="000000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rgbClr val="000000"/>
              </a:solidFill>
              <a:ln w="9525" cap="flat" cmpd="sng" algn="ctr">
                <a:solidFill>
                  <a:srgbClr val="000000"/>
                </a:solidFill>
                <a:prstDash val="solid"/>
                <a:round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38-4FAF-868B-678A267D5C50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HPM8.0</c:v>
                </c:pt>
              </c:strCache>
            </c:strRef>
          </c:tx>
          <c:spPr>
            <a:ln w="12700" cap="rnd" cmpd="sng" algn="ctr">
              <a:solidFill>
                <a:srgbClr val="DD2D32"/>
              </a:solidFill>
              <a:prstDash val="solid"/>
              <a:round/>
            </a:ln>
          </c:spPr>
          <c:marker>
            <c:symbol val="square"/>
            <c:size val="5"/>
            <c:spPr>
              <a:solidFill>
                <a:srgbClr val="DD2D32"/>
              </a:solidFill>
              <a:ln w="9525" cap="flat" cmpd="sng" algn="ctr">
                <a:solidFill>
                  <a:srgbClr val="DD2D32"/>
                </a:solidFill>
                <a:prstDash val="solid"/>
                <a:round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38-4FAF-868B-678A267D5C50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38-4FAF-868B-678A267D5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</c:spPr>
        </c:majorGridlines>
        <c:minorGridlines>
          <c:spPr>
            <a:ln w="3175" cap="flat" cmpd="sng" algn="ctr">
              <a:solidFill>
                <a:srgbClr val="808080"/>
              </a:solidFill>
              <a:prstDash val="solid"/>
              <a:round/>
            </a:ln>
          </c:spPr>
        </c:minorGridlines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zh-CN" sz="900" b="1" i="0" u="none" strike="noStrike" kern="1200" baseline="0">
                    <a:solidFill>
                      <a:srgbClr val="000000"/>
                    </a:solidFill>
                    <a:latin typeface="Arial" panose="020B0604020202020204"/>
                    <a:ea typeface="Arial" panose="020B0604020202020204"/>
                    <a:cs typeface="Arial" panose="020B0604020202020204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 cap="flat" cmpd="sng" algn="ctr">
            <a:solidFill>
              <a:srgbClr val="000000"/>
            </a:solidFill>
            <a:prstDash val="solid"/>
            <a:round/>
          </a:ln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 rot="0" spcFirstLastPara="0" vertOverflow="ellipsis" vert="horz" wrap="square" anchor="ctr" anchorCtr="1"/>
        <a:lstStyle/>
        <a:p>
          <a:pPr>
            <a:defRPr lang="zh-CN" sz="630" b="0" i="0" u="none" strike="noStrike" kern="1200" baseline="0">
              <a:solidFill>
                <a:srgbClr val="000000"/>
              </a:solidFill>
              <a:latin typeface="Arial" panose="020B0604020202020204"/>
              <a:ea typeface="Arial" panose="020B0604020202020204"/>
              <a:cs typeface="Arial" panose="020B0604020202020204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 cap="flat" cmpd="sng" algn="ctr">
      <a:solidFill>
        <a:srgbClr val="000000"/>
      </a:solidFill>
      <a:prstDash val="solid"/>
      <a:round/>
    </a:ln>
  </c:spPr>
  <c:txPr>
    <a:bodyPr/>
    <a:lstStyle/>
    <a:p>
      <a:pPr>
        <a:defRPr lang="zh-CN" sz="900" b="0" i="0" u="none" strike="noStrike" baseline="0">
          <a:solidFill>
            <a:srgbClr val="000000"/>
          </a:solidFill>
          <a:latin typeface="Arial" panose="020B0604020202020204"/>
          <a:ea typeface="Arial" panose="020B0604020202020204"/>
          <a:cs typeface="Arial" panose="020B0604020202020204"/>
        </a:defRPr>
      </a:pPr>
      <a:endParaRPr lang="zh-CN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200-000072343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200-000073343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200-000074343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200-000075343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2" name="矩形 1"/>
        <cdr:cNvSpPr/>
      </cdr:nvSpPr>
      <cdr:spPr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 panose="020F0502020204030204"/>
            <a:ea typeface="Calibri" panose="020F0502020204030204"/>
            <a:cs typeface="Calibri" panose="020F0502020204030204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2" name="矩形 1"/>
        <cdr:cNvSpPr/>
      </cdr:nvSpPr>
      <cdr:spPr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 panose="020F0502020204030204"/>
            <a:ea typeface="Calibri" panose="020F0502020204030204"/>
            <a:cs typeface="Calibri" panose="020F0502020204030204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2" name="矩形 1"/>
        <cdr:cNvSpPr/>
      </cdr:nvSpPr>
      <cdr:spPr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 panose="020F0502020204030204"/>
            <a:ea typeface="Calibri" panose="020F0502020204030204"/>
            <a:cs typeface="Calibri" panose="020F0502020204030204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2" name="矩形 1"/>
        <cdr:cNvSpPr/>
      </cdr:nvSpPr>
      <cdr:spPr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 panose="020F0502020204030204"/>
              <a:ea typeface="Calibri" panose="020F0502020204030204"/>
              <a:cs typeface="Calibri" panose="020F0502020204030204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 panose="020F0502020204030204"/>
            <a:ea typeface="Calibri" panose="020F0502020204030204"/>
            <a:cs typeface="Calibri" panose="020F0502020204030204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2:O132"/>
  <sheetViews>
    <sheetView workbookViewId="0">
      <selection activeCell="H11" sqref="H11"/>
    </sheetView>
  </sheetViews>
  <sheetFormatPr defaultColWidth="10.83203125" defaultRowHeight="11.5" x14ac:dyDescent="0.25"/>
  <cols>
    <col min="1" max="1" width="4.08203125" style="166" customWidth="1"/>
    <col min="2" max="2" width="15.33203125" style="167" customWidth="1"/>
    <col min="3" max="5" width="7.5" style="167" customWidth="1"/>
    <col min="6" max="7" width="6.33203125" style="167" customWidth="1"/>
    <col min="8" max="8" width="4.83203125" style="166" customWidth="1"/>
    <col min="9" max="9" width="15.33203125" style="166" customWidth="1"/>
    <col min="10" max="12" width="7.5" style="166" customWidth="1"/>
    <col min="13" max="14" width="6.33203125" style="166" customWidth="1"/>
    <col min="15" max="16384" width="10.83203125" style="166"/>
  </cols>
  <sheetData>
    <row r="2" spans="2:15" ht="12.75" customHeight="1" x14ac:dyDescent="0.25">
      <c r="C2" s="206" t="s">
        <v>0</v>
      </c>
      <c r="D2" s="207"/>
      <c r="E2" s="207"/>
      <c r="F2" s="207"/>
      <c r="G2" s="208"/>
      <c r="I2" s="167"/>
      <c r="J2" s="206" t="s">
        <v>1</v>
      </c>
      <c r="K2" s="207"/>
      <c r="L2" s="207"/>
      <c r="M2" s="207"/>
      <c r="N2" s="208"/>
    </row>
    <row r="3" spans="2:15" ht="12.75" customHeight="1" x14ac:dyDescent="0.25">
      <c r="C3" s="206" t="str">
        <f>CONCATENATE("Over ",Summary!$J$3)</f>
        <v>Over HPM8.0</v>
      </c>
      <c r="D3" s="207"/>
      <c r="E3" s="207"/>
      <c r="F3" s="207"/>
      <c r="G3" s="208"/>
      <c r="I3" s="167"/>
      <c r="J3" s="206" t="str">
        <f>CONCATENATE("Over ",Summary!$J$3)</f>
        <v>Over HPM8.0</v>
      </c>
      <c r="K3" s="207"/>
      <c r="L3" s="207"/>
      <c r="M3" s="207"/>
      <c r="N3" s="208"/>
      <c r="O3" s="203"/>
    </row>
    <row r="4" spans="2:15" ht="12.75" customHeight="1" x14ac:dyDescent="0.25">
      <c r="C4" s="161" t="s">
        <v>2</v>
      </c>
      <c r="D4" s="168" t="s">
        <v>3</v>
      </c>
      <c r="E4" s="169" t="s">
        <v>4</v>
      </c>
      <c r="F4" s="170" t="s">
        <v>5</v>
      </c>
      <c r="G4" s="171" t="s">
        <v>6</v>
      </c>
      <c r="I4" s="167"/>
      <c r="J4" s="161" t="s">
        <v>2</v>
      </c>
      <c r="K4" s="168" t="s">
        <v>3</v>
      </c>
      <c r="L4" s="169" t="s">
        <v>4</v>
      </c>
      <c r="M4" s="170" t="s">
        <v>5</v>
      </c>
      <c r="N4" s="171" t="s">
        <v>6</v>
      </c>
      <c r="O4" s="203"/>
    </row>
    <row r="5" spans="2:15" ht="12.75" customHeight="1" x14ac:dyDescent="0.25">
      <c r="B5" s="172" t="str">
        <f>'AI-10'!$B$3</f>
        <v>Tango2</v>
      </c>
      <c r="C5" s="173">
        <f>'AI-10'!$V$3</f>
        <v>1.4131900827571986E-3</v>
      </c>
      <c r="D5" s="174">
        <f>'AI-10'!$W$3</f>
        <v>-5.6825947092753459E-4</v>
      </c>
      <c r="E5" s="175">
        <f>'AI-10'!$X$3</f>
        <v>-1.550634695026698E-4</v>
      </c>
      <c r="F5" s="176">
        <f>GEOMEAN('AI-10'!$S$3:'AI-10'!$S$6)</f>
        <v>0.9201985189581029</v>
      </c>
      <c r="G5" s="177">
        <f>GEOMEAN('AI-10'!$T$3:'AI-10'!$T$6)</f>
        <v>0.99631279558087982</v>
      </c>
      <c r="I5" s="172" t="str">
        <f>'AI-10'!$B$3</f>
        <v>Tango2</v>
      </c>
      <c r="J5" s="173" t="e">
        <f>'LDP-10'!$V$3</f>
        <v>#VALUE!</v>
      </c>
      <c r="K5" s="174" t="e">
        <f>'LDP-10'!$W$3</f>
        <v>#VALUE!</v>
      </c>
      <c r="L5" s="175" t="e">
        <f>'LDP-10'!$X$3</f>
        <v>#VALUE!</v>
      </c>
      <c r="M5" s="176" t="e">
        <f>GEOMEAN('LDP-10'!$S$3:'LDP-10'!$S$6)</f>
        <v>#DIV/0!</v>
      </c>
      <c r="N5" s="177" t="e">
        <f>GEOMEAN('LDP-10'!$T$3:'LDP-10'!$T$6)</f>
        <v>#DIV/0!</v>
      </c>
      <c r="O5" s="203"/>
    </row>
    <row r="6" spans="2:15" ht="12.75" customHeight="1" x14ac:dyDescent="0.25">
      <c r="B6" s="178" t="str">
        <f>'AI-10'!$B$7</f>
        <v>ParkRunning3</v>
      </c>
      <c r="C6" s="179">
        <f>'AI-10'!$V$7</f>
        <v>1.7269080468254039E-3</v>
      </c>
      <c r="D6" s="180">
        <f>'AI-10'!$W$7</f>
        <v>4.0842344484093296E-4</v>
      </c>
      <c r="E6" s="181">
        <f>'AI-10'!$X$7</f>
        <v>1.3810677915524483E-3</v>
      </c>
      <c r="F6" s="182">
        <f>GEOMEAN('AI-10'!$S$7:'AI-10'!$S$10)</f>
        <v>0.82543783452952857</v>
      </c>
      <c r="G6" s="183">
        <f>GEOMEAN('AI-10'!$T$7:'AI-10'!$T$10)</f>
        <v>0.99165215366349269</v>
      </c>
      <c r="I6" s="178" t="str">
        <f>'AI-10'!$B$7</f>
        <v>ParkRunning3</v>
      </c>
      <c r="J6" s="179" t="e">
        <f>'LDP-10'!$V$7</f>
        <v>#VALUE!</v>
      </c>
      <c r="K6" s="180" t="e">
        <f>'LDP-10'!$W$7</f>
        <v>#VALUE!</v>
      </c>
      <c r="L6" s="181" t="e">
        <f>'LDP-10'!$X$7</f>
        <v>#VALUE!</v>
      </c>
      <c r="M6" s="182" t="e">
        <f>GEOMEAN('LDP-10'!$S$7:'LDP-10'!$S$10)</f>
        <v>#DIV/0!</v>
      </c>
      <c r="N6" s="183" t="e">
        <f>GEOMEAN('LDP-10'!$T$7:'LDP-10'!$T$10)</f>
        <v>#DIV/0!</v>
      </c>
      <c r="O6" s="203"/>
    </row>
    <row r="7" spans="2:15" ht="12.75" customHeight="1" x14ac:dyDescent="0.25">
      <c r="B7" s="178" t="str">
        <f>'AI-10'!$B$11</f>
        <v>Campfire</v>
      </c>
      <c r="C7" s="179">
        <f>'AI-10'!$V$11</f>
        <v>2.8765978236391376E-3</v>
      </c>
      <c r="D7" s="180">
        <f>'AI-10'!$W$11</f>
        <v>9.1070250074922754E-3</v>
      </c>
      <c r="E7" s="181">
        <f>'AI-10'!$X$11</f>
        <v>6.6645942505378919E-3</v>
      </c>
      <c r="F7" s="184">
        <f>GEOMEAN('AI-10'!$S$11:'AI-10'!$S$14)</f>
        <v>0.84994210846104501</v>
      </c>
      <c r="G7" s="183">
        <f>GEOMEAN('AI-10'!$T$11:'AI-10'!$T$14)</f>
        <v>0.94138778441031978</v>
      </c>
      <c r="I7" s="178" t="str">
        <f>'AI-10'!$B$11</f>
        <v>Campfire</v>
      </c>
      <c r="J7" s="179" t="e">
        <f>'LDP-10'!$V$11</f>
        <v>#VALUE!</v>
      </c>
      <c r="K7" s="180" t="e">
        <f>'LDP-10'!$W$11</f>
        <v>#VALUE!</v>
      </c>
      <c r="L7" s="181" t="e">
        <f>'LDP-10'!$X$11</f>
        <v>#VALUE!</v>
      </c>
      <c r="M7" s="184" t="e">
        <f>GEOMEAN('LDP-10'!$S$11:'LDP-10'!$S$14)</f>
        <v>#DIV/0!</v>
      </c>
      <c r="N7" s="183" t="e">
        <f>GEOMEAN('LDP-10'!$T$11:'LDP-10'!$T$14)</f>
        <v>#DIV/0!</v>
      </c>
      <c r="O7" s="203"/>
    </row>
    <row r="8" spans="2:15" ht="12.75" customHeight="1" x14ac:dyDescent="0.25">
      <c r="B8" s="185" t="str">
        <f>'AI-10'!$B$15</f>
        <v>DaylightRoad2</v>
      </c>
      <c r="C8" s="186">
        <f>'AI-10'!$V$15</f>
        <v>1.8152533313084973E-3</v>
      </c>
      <c r="D8" s="187">
        <f>'AI-10'!$W$15</f>
        <v>4.9806568910004678E-4</v>
      </c>
      <c r="E8" s="188">
        <f>'AI-10'!$X$15</f>
        <v>-3.7969386576941488E-4</v>
      </c>
      <c r="F8" s="189">
        <f>GEOMEAN('AI-10'!$S$15:'AI-10'!$S$18)</f>
        <v>0.89171160737794775</v>
      </c>
      <c r="G8" s="190">
        <f>GEOMEAN('AI-10'!$T$15:'AI-10'!$T$18)</f>
        <v>1.0121163026560527</v>
      </c>
      <c r="I8" s="185" t="str">
        <f>'AI-10'!$B$15</f>
        <v>DaylightRoad2</v>
      </c>
      <c r="J8" s="186" t="e">
        <f>'LDP-10'!$V$15</f>
        <v>#VALUE!</v>
      </c>
      <c r="K8" s="187" t="e">
        <f>'LDP-10'!$W$15</f>
        <v>#VALUE!</v>
      </c>
      <c r="L8" s="188" t="e">
        <f>'LDP-10'!$X$15</f>
        <v>#VALUE!</v>
      </c>
      <c r="M8" s="189" t="e">
        <f>GEOMEAN('LDP-10'!$S$15:'LDP-10'!$S$18)</f>
        <v>#DIV/0!</v>
      </c>
      <c r="N8" s="190" t="e">
        <f>GEOMEAN('LDP-10'!$T$15:'LDP-10'!$T$18)</f>
        <v>#DIV/0!</v>
      </c>
      <c r="O8" s="203"/>
    </row>
    <row r="9" spans="2:15" ht="12.75" customHeight="1" x14ac:dyDescent="0.25">
      <c r="B9" s="172" t="str">
        <f>'AI-10'!$B$19</f>
        <v>Cactus</v>
      </c>
      <c r="C9" s="173">
        <f>'AI-10'!$V$19</f>
        <v>1.326985786069601E-3</v>
      </c>
      <c r="D9" s="174">
        <f>'AI-10'!$W$19</f>
        <v>1.4429858217175351E-3</v>
      </c>
      <c r="E9" s="175">
        <f>'AI-10'!$X$19</f>
        <v>8.1264653377366436E-4</v>
      </c>
      <c r="F9" s="176">
        <f>GEOMEAN('AI-10'!$S$19:'AI-10'!$S$22)</f>
        <v>0.88190653819662113</v>
      </c>
      <c r="G9" s="177">
        <f>GEOMEAN('AI-10'!$T$19:'AI-10'!$T$22)</f>
        <v>1.0226704679362526</v>
      </c>
      <c r="I9" s="172" t="str">
        <f>'AI-10'!$B$19</f>
        <v>Cactus</v>
      </c>
      <c r="J9" s="173" t="e">
        <f>'LDP-10'!$V$19</f>
        <v>#VALUE!</v>
      </c>
      <c r="K9" s="174" t="e">
        <f>'LDP-10'!$W$19</f>
        <v>#VALUE!</v>
      </c>
      <c r="L9" s="175" t="e">
        <f>'LDP-10'!$X$19</f>
        <v>#VALUE!</v>
      </c>
      <c r="M9" s="176" t="e">
        <f>GEOMEAN('LDP-10'!$S$19:'LDP-10'!$S$22)</f>
        <v>#DIV/0!</v>
      </c>
      <c r="N9" s="177" t="e">
        <f>GEOMEAN('LDP-10'!$T$19:'LDP-10'!$T$22)</f>
        <v>#DIV/0!</v>
      </c>
      <c r="O9" s="203"/>
    </row>
    <row r="10" spans="2:15" ht="12.75" customHeight="1" x14ac:dyDescent="0.25">
      <c r="B10" s="178" t="str">
        <f>'AI-10'!$B$23</f>
        <v>BasketballDrive</v>
      </c>
      <c r="C10" s="179">
        <f>'AI-10'!$V$23</f>
        <v>2.3206992452975417E-3</v>
      </c>
      <c r="D10" s="180">
        <f>'AI-10'!$W$23</f>
        <v>-2.7334841195214565E-4</v>
      </c>
      <c r="E10" s="181">
        <f>'AI-10'!$X$23</f>
        <v>-2.6257016385211607E-4</v>
      </c>
      <c r="F10" s="182">
        <f>GEOMEAN('AI-10'!$S$23:'AI-10'!$S$26)</f>
        <v>0.79959376189634368</v>
      </c>
      <c r="G10" s="183">
        <f>GEOMEAN('AI-10'!$T$23:'AI-10'!$T$26)</f>
        <v>0.99081477091083048</v>
      </c>
      <c r="I10" s="178" t="str">
        <f>'AI-10'!$B$23</f>
        <v>BasketballDrive</v>
      </c>
      <c r="J10" s="179" t="e">
        <f>'LDP-10'!$V$23</f>
        <v>#VALUE!</v>
      </c>
      <c r="K10" s="180" t="e">
        <f>'LDP-10'!$W$23</f>
        <v>#VALUE!</v>
      </c>
      <c r="L10" s="181" t="e">
        <f>'LDP-10'!$X$23</f>
        <v>#VALUE!</v>
      </c>
      <c r="M10" s="182" t="e">
        <f>GEOMEAN('LDP-10'!$S$23:'LDP-10'!$S$26)</f>
        <v>#DIV/0!</v>
      </c>
      <c r="N10" s="183" t="e">
        <f>GEOMEAN('LDP-10'!$T$23:'LDP-10'!$T$26)</f>
        <v>#DIV/0!</v>
      </c>
      <c r="O10" s="203"/>
    </row>
    <row r="11" spans="2:15" ht="12.75" customHeight="1" x14ac:dyDescent="0.25">
      <c r="B11" s="178" t="str">
        <f>'AI-10'!$B$27</f>
        <v>MarketPlace</v>
      </c>
      <c r="C11" s="179">
        <f>'AI-10'!$V$27</f>
        <v>7.5549659495854904E-4</v>
      </c>
      <c r="D11" s="180">
        <f>'AI-10'!$W$27</f>
        <v>-1.63884430251382E-3</v>
      </c>
      <c r="E11" s="181">
        <f>'AI-10'!$X$27</f>
        <v>-2.3089357165984037E-4</v>
      </c>
      <c r="F11" s="182">
        <f>GEOMEAN('AI-10'!$S$27:'AI-10'!$S$30)</f>
        <v>0.89182803327773796</v>
      </c>
      <c r="G11" s="183">
        <f>GEOMEAN('AI-10'!$T$27:'AI-10'!$T$30)</f>
        <v>1.0203984754502862</v>
      </c>
      <c r="I11" s="178" t="str">
        <f>'AI-10'!$B$27</f>
        <v>MarketPlace</v>
      </c>
      <c r="J11" s="179" t="e">
        <f>'LDP-10'!$V$27</f>
        <v>#VALUE!</v>
      </c>
      <c r="K11" s="180" t="e">
        <f>'LDP-10'!$W$27</f>
        <v>#VALUE!</v>
      </c>
      <c r="L11" s="181" t="e">
        <f>'LDP-10'!$X$27</f>
        <v>#VALUE!</v>
      </c>
      <c r="M11" s="182" t="e">
        <f>GEOMEAN('LDP-10'!$S$27:'LDP-10'!$S$30)</f>
        <v>#DIV/0!</v>
      </c>
      <c r="N11" s="183" t="e">
        <f>GEOMEAN('LDP-10'!$T$27:'LDP-10'!$T$30)</f>
        <v>#DIV/0!</v>
      </c>
      <c r="O11" s="203"/>
    </row>
    <row r="12" spans="2:15" ht="12.75" customHeight="1" x14ac:dyDescent="0.25">
      <c r="B12" s="185" t="str">
        <f>'AI-10'!$B$31</f>
        <v>RitualDance</v>
      </c>
      <c r="C12" s="186">
        <f>'AI-10'!$V$31</f>
        <v>1.4010191797564353E-3</v>
      </c>
      <c r="D12" s="187">
        <f>'AI-10'!$W$31</f>
        <v>-8.2384644496824588E-4</v>
      </c>
      <c r="E12" s="188">
        <f>'AI-10'!$X$31</f>
        <v>-4.4687653671771077E-4</v>
      </c>
      <c r="F12" s="189">
        <f>GEOMEAN('AI-10'!$S$31:'AI-10'!$S$34)</f>
        <v>0.88491147078709065</v>
      </c>
      <c r="G12" s="190">
        <f>GEOMEAN('AI-10'!$T$31:'AI-10'!$T$34)</f>
        <v>1.0189550229743136</v>
      </c>
      <c r="I12" s="185" t="str">
        <f>'AI-10'!$B$31</f>
        <v>RitualDance</v>
      </c>
      <c r="J12" s="186" t="e">
        <f>'LDP-10'!$V$31</f>
        <v>#VALUE!</v>
      </c>
      <c r="K12" s="187" t="e">
        <f>'LDP-10'!$W$31</f>
        <v>#VALUE!</v>
      </c>
      <c r="L12" s="188" t="e">
        <f>'LDP-10'!$X$31</f>
        <v>#VALUE!</v>
      </c>
      <c r="M12" s="189" t="e">
        <f>GEOMEAN('LDP-10'!$S$31:'LDP-10'!$S$34)</f>
        <v>#DIV/0!</v>
      </c>
      <c r="N12" s="190" t="e">
        <f>GEOMEAN('LDP-10'!$T$31:'LDP-10'!$T$34)</f>
        <v>#DIV/0!</v>
      </c>
      <c r="O12" s="203"/>
    </row>
    <row r="13" spans="2:15" ht="12.75" customHeight="1" x14ac:dyDescent="0.25">
      <c r="B13" s="172" t="str">
        <f>'AI-10'!$B$35</f>
        <v>City</v>
      </c>
      <c r="C13" s="173">
        <f>'AI-10'!$V$35</f>
        <v>2.5927420260236644E-3</v>
      </c>
      <c r="D13" s="174">
        <f>'AI-10'!$W$35</f>
        <v>5.4975556913150481E-3</v>
      </c>
      <c r="E13" s="175">
        <f>'AI-10'!$X$35</f>
        <v>2.4150003909828577E-3</v>
      </c>
      <c r="F13" s="176">
        <f>GEOMEAN('AI-10'!$S$35:'AI-10'!$S$38)</f>
        <v>0.78984394747131481</v>
      </c>
      <c r="G13" s="177" t="e">
        <f>GEOMEAN('AI-10'!$T$35:'AI-10'!$T$38)</f>
        <v>#DIV/0!</v>
      </c>
      <c r="I13" s="172" t="str">
        <f>'AI-10'!$B$35</f>
        <v>City</v>
      </c>
      <c r="J13" s="173" t="e">
        <f>'LDP-10'!$V$35</f>
        <v>#VALUE!</v>
      </c>
      <c r="K13" s="174" t="e">
        <f>'LDP-10'!$W$35</f>
        <v>#VALUE!</v>
      </c>
      <c r="L13" s="175" t="e">
        <f>'LDP-10'!$X$35</f>
        <v>#VALUE!</v>
      </c>
      <c r="M13" s="176" t="e">
        <f>GEOMEAN('LDP-10'!$S$35:'LDP-10'!$S$38)</f>
        <v>#DIV/0!</v>
      </c>
      <c r="N13" s="177" t="e">
        <f>GEOMEAN('LDP-10'!$T$35:'LDP-10'!$T$38)</f>
        <v>#DIV/0!</v>
      </c>
      <c r="O13" s="203"/>
    </row>
    <row r="14" spans="2:15" ht="12.75" customHeight="1" x14ac:dyDescent="0.25">
      <c r="B14" s="178" t="str">
        <f>'AI-10'!$B$39</f>
        <v>Crew</v>
      </c>
      <c r="C14" s="179">
        <f>'AI-10'!$V$39</f>
        <v>3.1923539005369594E-3</v>
      </c>
      <c r="D14" s="180">
        <f>'AI-10'!$W$39</f>
        <v>-1.5013925799097771E-3</v>
      </c>
      <c r="E14" s="181">
        <f>'AI-10'!$X$39</f>
        <v>1.4847410186102916E-3</v>
      </c>
      <c r="F14" s="182">
        <f>GEOMEAN('AI-10'!$S$39:'AI-10'!$S$42)</f>
        <v>0.84116960962468013</v>
      </c>
      <c r="G14" s="183">
        <f>GEOMEAN('AI-10'!$T$39:'AI-10'!$T$42)</f>
        <v>1.1044382890686724</v>
      </c>
      <c r="I14" s="178" t="str">
        <f>'AI-10'!$B$39</f>
        <v>Crew</v>
      </c>
      <c r="J14" s="179" t="e">
        <f>'LDP-10'!$V$39</f>
        <v>#VALUE!</v>
      </c>
      <c r="K14" s="180" t="e">
        <f>'LDP-10'!$W$39</f>
        <v>#VALUE!</v>
      </c>
      <c r="L14" s="181" t="e">
        <f>'LDP-10'!$X$39</f>
        <v>#VALUE!</v>
      </c>
      <c r="M14" s="182" t="e">
        <f>GEOMEAN('LDP-10'!$S$39:'LDP-10'!$S$42)</f>
        <v>#DIV/0!</v>
      </c>
      <c r="N14" s="183" t="e">
        <f>GEOMEAN('LDP-10'!$T$39:'LDP-10'!$T$42)</f>
        <v>#DIV/0!</v>
      </c>
      <c r="O14" s="203"/>
    </row>
    <row r="15" spans="2:15" ht="12.75" customHeight="1" x14ac:dyDescent="0.25">
      <c r="B15" s="178" t="str">
        <f>'AI-10'!$B$43</f>
        <v>vidyo1</v>
      </c>
      <c r="C15" s="179">
        <f>'AI-10'!$V$43</f>
        <v>-1.3897317963443845E-3</v>
      </c>
      <c r="D15" s="180">
        <f>'AI-10'!$W$43</f>
        <v>-5.3951692090213887E-3</v>
      </c>
      <c r="E15" s="181">
        <f>'AI-10'!$X$43</f>
        <v>-3.5929934013898546E-3</v>
      </c>
      <c r="F15" s="182">
        <f>GEOMEAN('AI-10'!$S$43:'AI-10'!$S$46)</f>
        <v>0.88676134578057553</v>
      </c>
      <c r="G15" s="183">
        <f>GEOMEAN('AI-10'!$T$43:'AI-10'!$T$46)</f>
        <v>1.0134222981479712</v>
      </c>
      <c r="I15" s="178" t="str">
        <f>'AI-10'!$B$43</f>
        <v>vidyo1</v>
      </c>
      <c r="J15" s="179" t="e">
        <f>'LDP-10'!$V$43</f>
        <v>#VALUE!</v>
      </c>
      <c r="K15" s="180" t="e">
        <f>'LDP-10'!$W$43</f>
        <v>#VALUE!</v>
      </c>
      <c r="L15" s="181" t="e">
        <f>'LDP-10'!$X$43</f>
        <v>#VALUE!</v>
      </c>
      <c r="M15" s="182" t="e">
        <f>GEOMEAN('LDP-10'!$S$43:'LDP-10'!$S$46)</f>
        <v>#DIV/0!</v>
      </c>
      <c r="N15" s="183" t="e">
        <f>GEOMEAN('LDP-10'!$T$43:'LDP-10'!$T$46)</f>
        <v>#DIV/0!</v>
      </c>
      <c r="O15" s="203"/>
    </row>
    <row r="16" spans="2:15" ht="12.75" customHeight="1" x14ac:dyDescent="0.25">
      <c r="B16" s="185" t="str">
        <f>'AI-10'!$B$47</f>
        <v>vidyo3</v>
      </c>
      <c r="C16" s="186">
        <f>'AI-10'!$V$47</f>
        <v>3.033618565874141E-3</v>
      </c>
      <c r="D16" s="187">
        <f>'AI-10'!$W$47</f>
        <v>1.2437699984304551E-3</v>
      </c>
      <c r="E16" s="188">
        <f>'AI-10'!$X$47</f>
        <v>5.7559545757370767E-3</v>
      </c>
      <c r="F16" s="189">
        <f>GEOMEAN('AI-10'!$S$47:'AI-10'!$S$50)</f>
        <v>0.81179702368724871</v>
      </c>
      <c r="G16" s="190">
        <f>GEOMEAN('AI-10'!$T$47:'AI-10'!$T$50)</f>
        <v>0.99637137038409873</v>
      </c>
      <c r="I16" s="185" t="str">
        <f>'AI-10'!$B$47</f>
        <v>vidyo3</v>
      </c>
      <c r="J16" s="186" t="e">
        <f>'LDP-10'!$V$47</f>
        <v>#VALUE!</v>
      </c>
      <c r="K16" s="187" t="e">
        <f>'LDP-10'!$W$47</f>
        <v>#VALUE!</v>
      </c>
      <c r="L16" s="188" t="e">
        <f>'LDP-10'!$X$47</f>
        <v>#VALUE!</v>
      </c>
      <c r="M16" s="189" t="e">
        <f>GEOMEAN('LDP-10'!$S$47:'LDP-10'!$S$50)</f>
        <v>#DIV/0!</v>
      </c>
      <c r="N16" s="190" t="e">
        <f>GEOMEAN('LDP-10'!$T$47:'LDP-10'!$T$50)</f>
        <v>#DIV/0!</v>
      </c>
      <c r="O16" s="203"/>
    </row>
    <row r="17" spans="2:15" ht="12.75" customHeight="1" x14ac:dyDescent="0.25">
      <c r="B17" s="172" t="str">
        <f>'AI-10'!$B$51</f>
        <v>MetroEntrance</v>
      </c>
      <c r="C17" s="173" t="e">
        <f>'AI-10'!$V$51</f>
        <v>#VALUE!</v>
      </c>
      <c r="D17" s="174" t="e">
        <f>'AI-10'!$W$51</f>
        <v>#VALUE!</v>
      </c>
      <c r="E17" s="175" t="e">
        <f>'AI-10'!$X$51</f>
        <v>#VALUE!</v>
      </c>
      <c r="F17" s="176" t="e">
        <f>GEOMEAN('AI-10'!$S$51:'AI-10'!$S$54)</f>
        <v>#DIV/0!</v>
      </c>
      <c r="G17" s="177" t="e">
        <f>GEOMEAN('AI-10'!$T$51:'AI-10'!$T$54)</f>
        <v>#DIV/0!</v>
      </c>
      <c r="I17" s="172" t="str">
        <f>'AI-10'!$B$51</f>
        <v>MetroEntrance</v>
      </c>
      <c r="J17" s="173">
        <f>'LDP-10'!$V$51</f>
        <v>4.1956603542219195E-3</v>
      </c>
      <c r="K17" s="174">
        <f>'LDP-10'!$W$51</f>
        <v>-2.4960659654545969E-3</v>
      </c>
      <c r="L17" s="175">
        <f>'LDP-10'!$X$51</f>
        <v>1.8067924247664457E-3</v>
      </c>
      <c r="M17" s="176">
        <f>GEOMEAN('LDP-10'!$S$51:'LDP-10'!$S$54)</f>
        <v>0.93781780096463729</v>
      </c>
      <c r="N17" s="177" t="e">
        <f>GEOMEAN('LDP-10'!$T$51:'LDP-10'!$T$54)</f>
        <v>#DIV/0!</v>
      </c>
      <c r="O17" s="203"/>
    </row>
    <row r="18" spans="2:15" ht="12.75" customHeight="1" x14ac:dyDescent="0.25">
      <c r="B18" s="185" t="str">
        <f>'AI-10'!$B$55</f>
        <v>NightTraffic3</v>
      </c>
      <c r="C18" s="186" t="e">
        <f>'AI-10'!$V$55</f>
        <v>#VALUE!</v>
      </c>
      <c r="D18" s="187" t="e">
        <f>'AI-10'!$W$55</f>
        <v>#VALUE!</v>
      </c>
      <c r="E18" s="188" t="e">
        <f>'AI-10'!$X$55</f>
        <v>#VALUE!</v>
      </c>
      <c r="F18" s="189" t="e">
        <f>GEOMEAN('AI-10'!$S$55:'AI-10'!$S$58)</f>
        <v>#DIV/0!</v>
      </c>
      <c r="G18" s="190" t="e">
        <f>GEOMEAN('AI-10'!$T$55:'AI-10'!$T$58)</f>
        <v>#DIV/0!</v>
      </c>
      <c r="I18" s="185" t="str">
        <f>'AI-10'!$B$55</f>
        <v>NightTraffic3</v>
      </c>
      <c r="J18" s="186">
        <f>'LDP-10'!$V$55</f>
        <v>2.7935130787357654E-3</v>
      </c>
      <c r="K18" s="187">
        <f>'LDP-10'!$W$55</f>
        <v>-1.0519937024048409E-2</v>
      </c>
      <c r="L18" s="188">
        <f>'LDP-10'!$X$55</f>
        <v>6.3643636830765793E-3</v>
      </c>
      <c r="M18" s="189">
        <f>GEOMEAN('LDP-10'!$S$55:'LDP-10'!$S$58)</f>
        <v>0.91393393515097732</v>
      </c>
      <c r="N18" s="190" t="e">
        <f>GEOMEAN('LDP-10'!$T$55:'LDP-10'!$T$58)</f>
        <v>#DIV/0!</v>
      </c>
      <c r="O18" s="203"/>
    </row>
    <row r="19" spans="2:15" ht="12.75" customHeight="1" x14ac:dyDescent="0.25">
      <c r="B19" s="172" t="str">
        <f>'AI-10'!$B$59</f>
        <v>FlyingGraphics</v>
      </c>
      <c r="C19" s="173" t="e">
        <f>'AI-10'!$V$59</f>
        <v>#VALUE!</v>
      </c>
      <c r="D19" s="174" t="e">
        <f>'AI-10'!$W$59</f>
        <v>#VALUE!</v>
      </c>
      <c r="E19" s="175" t="e">
        <f>'AI-10'!$X$59</f>
        <v>#VALUE!</v>
      </c>
      <c r="F19" s="176" t="e">
        <f>GEOMEAN('AI-10'!$S$59:'AI-10'!$S$62)</f>
        <v>#DIV/0!</v>
      </c>
      <c r="G19" s="177" t="e">
        <f>GEOMEAN('AI-10'!$T$59:'AI-10'!$T$62)</f>
        <v>#DIV/0!</v>
      </c>
      <c r="I19" s="172" t="str">
        <f>'AI-10'!$B$59</f>
        <v>FlyingGraphics</v>
      </c>
      <c r="J19" s="173">
        <f>'LDP-10'!$V$59</f>
        <v>-4.5511777897078165E-4</v>
      </c>
      <c r="K19" s="174">
        <f>'LDP-10'!$W$59</f>
        <v>-2.2025734072862457E-3</v>
      </c>
      <c r="L19" s="175">
        <f>'LDP-10'!$X$59</f>
        <v>3.2416021537029494E-3</v>
      </c>
      <c r="M19" s="176">
        <f>GEOMEAN('LDP-10'!$S$59:'LDP-10'!$S$62)</f>
        <v>0.93346290783925256</v>
      </c>
      <c r="N19" s="177" t="e">
        <f>GEOMEAN('LDP-10'!$T$59:'LDP-10'!$T$62)</f>
        <v>#DIV/0!</v>
      </c>
      <c r="O19" s="203"/>
    </row>
    <row r="20" spans="2:15" ht="12.75" customHeight="1" x14ac:dyDescent="0.25">
      <c r="B20" s="178" t="str">
        <f>'AI-10'!$B$63</f>
        <v>Desktop</v>
      </c>
      <c r="C20" s="179" t="e">
        <f>'AI-10'!$V$63</f>
        <v>#VALUE!</v>
      </c>
      <c r="D20" s="180" t="e">
        <f>'AI-10'!$W$63</f>
        <v>#VALUE!</v>
      </c>
      <c r="E20" s="181" t="e">
        <f>'AI-10'!$X$63</f>
        <v>#VALUE!</v>
      </c>
      <c r="F20" s="182" t="e">
        <f>GEOMEAN('AI-10'!$S$63:'AI-10'!$S$66)</f>
        <v>#DIV/0!</v>
      </c>
      <c r="G20" s="183" t="e">
        <f>GEOMEAN('AI-10'!$T$63:'AI-10'!$T$66)</f>
        <v>#DIV/0!</v>
      </c>
      <c r="I20" s="178" t="str">
        <f>'AI-10'!$B$63</f>
        <v>Desktop</v>
      </c>
      <c r="J20" s="179">
        <f>'LDP-10'!$V$63</f>
        <v>6.7150119154990584E-4</v>
      </c>
      <c r="K20" s="180">
        <f>'LDP-10'!$W$63</f>
        <v>-9.1165807228029694E-3</v>
      </c>
      <c r="L20" s="181">
        <f>'LDP-10'!$X$63</f>
        <v>-1.3539805258491189E-3</v>
      </c>
      <c r="M20" s="182">
        <f>GEOMEAN('LDP-10'!$S$63:'LDP-10'!$S$66)</f>
        <v>0.92845852165902676</v>
      </c>
      <c r="N20" s="183" t="e">
        <f>GEOMEAN('LDP-10'!$T$63:'LDP-10'!$T$66)</f>
        <v>#DIV/0!</v>
      </c>
      <c r="O20" s="203"/>
    </row>
    <row r="21" spans="2:15" ht="12.75" customHeight="1" x14ac:dyDescent="0.25">
      <c r="B21" s="178" t="str">
        <f>'AI-10'!$B$67</f>
        <v>ArenaOfValor</v>
      </c>
      <c r="C21" s="179" t="e">
        <f>'AI-10'!$V$67</f>
        <v>#VALUE!</v>
      </c>
      <c r="D21" s="180" t="e">
        <f>'AI-10'!$W$67</f>
        <v>#VALUE!</v>
      </c>
      <c r="E21" s="181" t="e">
        <f>'AI-10'!$X$67</f>
        <v>#VALUE!</v>
      </c>
      <c r="F21" s="182" t="e">
        <f>GEOMEAN('AI-10'!$S$67:'AI-10'!$S$70)</f>
        <v>#DIV/0!</v>
      </c>
      <c r="G21" s="183" t="e">
        <f>GEOMEAN('AI-10'!$T$67:'AI-10'!$T$70)</f>
        <v>#DIV/0!</v>
      </c>
      <c r="I21" s="178" t="str">
        <f>'AI-10'!$B$67</f>
        <v>ArenaOfValor</v>
      </c>
      <c r="J21" s="179">
        <f>'LDP-10'!$V$67</f>
        <v>2.5618206699111745E-3</v>
      </c>
      <c r="K21" s="180">
        <f>'LDP-10'!$W$67</f>
        <v>8.9861680907183938E-3</v>
      </c>
      <c r="L21" s="181">
        <f>'LDP-10'!$X$67</f>
        <v>6.2099110937130497E-4</v>
      </c>
      <c r="M21" s="182">
        <f>GEOMEAN('LDP-10'!$S$67:'LDP-10'!$S$70)</f>
        <v>0.93426502509193343</v>
      </c>
      <c r="N21" s="183" t="e">
        <f>GEOMEAN('LDP-10'!$T$67:'LDP-10'!$T$70)</f>
        <v>#DIV/0!</v>
      </c>
      <c r="O21" s="203"/>
    </row>
    <row r="22" spans="2:15" ht="12.75" customHeight="1" x14ac:dyDescent="0.25">
      <c r="B22" s="185" t="str">
        <f>'AI-10'!$B$71</f>
        <v>program_vidyo</v>
      </c>
      <c r="C22" s="186" t="e">
        <f>'AI-10'!$V$71</f>
        <v>#VALUE!</v>
      </c>
      <c r="D22" s="187" t="e">
        <f>'AI-10'!$W$71</f>
        <v>#VALUE!</v>
      </c>
      <c r="E22" s="188" t="e">
        <f>'AI-10'!$X$71</f>
        <v>#VALUE!</v>
      </c>
      <c r="F22" s="189" t="e">
        <f>GEOMEAN('AI-10'!$S$71:'AI-10'!$S$74)</f>
        <v>#DIV/0!</v>
      </c>
      <c r="G22" s="190" t="e">
        <f>GEOMEAN('AI-10'!$T$71:'AI-10'!$T$74)</f>
        <v>#DIV/0!</v>
      </c>
      <c r="I22" s="185" t="str">
        <f>'AI-10'!$B$71</f>
        <v>program_vidyo</v>
      </c>
      <c r="J22" s="186">
        <f>'LDP-10'!$V$71</f>
        <v>-4.6343420358274656E-4</v>
      </c>
      <c r="K22" s="187">
        <f>'LDP-10'!$W$71</f>
        <v>-1.7836404639225423E-3</v>
      </c>
      <c r="L22" s="188">
        <f>'LDP-10'!$X$71</f>
        <v>3.8578733192793369E-3</v>
      </c>
      <c r="M22" s="189">
        <f>GEOMEAN('LDP-10'!$S$71:'LDP-10'!$S$74)</f>
        <v>0.93611028164428911</v>
      </c>
      <c r="N22" s="190" t="e">
        <f>GEOMEAN('LDP-10'!$T$71:'LDP-10'!$T$74)</f>
        <v>#DIV/0!</v>
      </c>
      <c r="O22" s="203"/>
    </row>
    <row r="23" spans="2:15" ht="12.75" customHeight="1" x14ac:dyDescent="0.25">
      <c r="B23" s="191" t="s">
        <v>7</v>
      </c>
      <c r="C23" s="173">
        <f>'AI-10'!$V75</f>
        <v>1.9579873211325594E-3</v>
      </c>
      <c r="D23" s="174">
        <f>'AI-10'!$W75</f>
        <v>2.3613136676264301E-3</v>
      </c>
      <c r="E23" s="175">
        <f>'AI-10'!$X75</f>
        <v>1.8777261767045639E-3</v>
      </c>
      <c r="F23" s="192">
        <f>'AI-10'!$S75</f>
        <v>0.87105367366943032</v>
      </c>
      <c r="G23" s="177">
        <f>'AI-10'!$T75</f>
        <v>0.98500517356397288</v>
      </c>
      <c r="H23" s="193"/>
      <c r="I23" s="191" t="s">
        <v>7</v>
      </c>
      <c r="J23" s="173" t="e">
        <f>'LDP-10'!$V75</f>
        <v>#VALUE!</v>
      </c>
      <c r="K23" s="174" t="e">
        <f>'LDP-10'!$W75</f>
        <v>#VALUE!</v>
      </c>
      <c r="L23" s="175" t="e">
        <f>'LDP-10'!$X75</f>
        <v>#VALUE!</v>
      </c>
      <c r="M23" s="192" t="e">
        <f>'LDP-10'!$S75</f>
        <v>#DIV/0!</v>
      </c>
      <c r="N23" s="177" t="e">
        <f>'LDP-10'!$T75</f>
        <v>#DIV/0!</v>
      </c>
      <c r="O23" s="203"/>
    </row>
    <row r="24" spans="2:15" ht="12.75" customHeight="1" x14ac:dyDescent="0.25">
      <c r="B24" s="194" t="s">
        <v>8</v>
      </c>
      <c r="C24" s="179">
        <f>'AI-10'!$V76</f>
        <v>1.4510502015205318E-3</v>
      </c>
      <c r="D24" s="180">
        <f>'AI-10'!$W76</f>
        <v>-3.232633344291691E-4</v>
      </c>
      <c r="E24" s="181">
        <f>'AI-10'!$X76</f>
        <v>-3.1923434614000712E-5</v>
      </c>
      <c r="F24" s="184">
        <f>'AI-10'!$S76</f>
        <v>0.8637105531253243</v>
      </c>
      <c r="G24" s="183">
        <f>'AI-10'!$T76</f>
        <v>1.0131255097253455</v>
      </c>
      <c r="H24" s="193"/>
      <c r="I24" s="194" t="s">
        <v>8</v>
      </c>
      <c r="J24" s="179" t="e">
        <f>'LDP-10'!$V76</f>
        <v>#VALUE!</v>
      </c>
      <c r="K24" s="180" t="e">
        <f>'LDP-10'!$W76</f>
        <v>#VALUE!</v>
      </c>
      <c r="L24" s="181" t="e">
        <f>'LDP-10'!$X76</f>
        <v>#VALUE!</v>
      </c>
      <c r="M24" s="184" t="e">
        <f>'LDP-10'!$S76</f>
        <v>#DIV/0!</v>
      </c>
      <c r="N24" s="183" t="e">
        <f>'LDP-10'!$T76</f>
        <v>#DIV/0!</v>
      </c>
      <c r="O24" s="203"/>
    </row>
    <row r="25" spans="2:15" ht="12.75" customHeight="1" x14ac:dyDescent="0.25">
      <c r="B25" s="194" t="s">
        <v>9</v>
      </c>
      <c r="C25" s="179">
        <f>'AI-10'!$V77</f>
        <v>1.8572456740225951E-3</v>
      </c>
      <c r="D25" s="180">
        <f>'AI-10'!$W77</f>
        <v>-3.8809024796415681E-5</v>
      </c>
      <c r="E25" s="181">
        <f>'AI-10'!$X77</f>
        <v>1.5156756459850929E-3</v>
      </c>
      <c r="F25" s="184">
        <f>'AI-10'!$S77</f>
        <v>0.83161012674230961</v>
      </c>
      <c r="G25" s="183" t="e">
        <f>'AI-10'!$T77</f>
        <v>#DIV/0!</v>
      </c>
      <c r="H25" s="193"/>
      <c r="I25" s="194" t="s">
        <v>9</v>
      </c>
      <c r="J25" s="179" t="e">
        <f>'LDP-10'!$V77</f>
        <v>#VALUE!</v>
      </c>
      <c r="K25" s="180" t="e">
        <f>'LDP-10'!$W77</f>
        <v>#VALUE!</v>
      </c>
      <c r="L25" s="181" t="e">
        <f>'LDP-10'!$X77</f>
        <v>#VALUE!</v>
      </c>
      <c r="M25" s="184" t="e">
        <f>'LDP-10'!$S77</f>
        <v>#DIV/0!</v>
      </c>
      <c r="N25" s="183" t="e">
        <f>'LDP-10'!$T77</f>
        <v>#DIV/0!</v>
      </c>
    </row>
    <row r="26" spans="2:15" s="165" customFormat="1" ht="12.75" customHeight="1" x14ac:dyDescent="0.25">
      <c r="B26" s="195" t="s">
        <v>10</v>
      </c>
      <c r="C26" s="196">
        <f>'AI-10'!$V80</f>
        <v>1.7554277322252287E-3</v>
      </c>
      <c r="D26" s="197">
        <f>'AI-10'!$W80</f>
        <v>6.6641376946694841E-4</v>
      </c>
      <c r="E26" s="198">
        <f>'AI-10'!$X80</f>
        <v>1.1204927960252187E-3</v>
      </c>
      <c r="F26" s="199">
        <f>'AI-10'!$S80</f>
        <v>0.85528522689691633</v>
      </c>
      <c r="G26" s="200" t="e">
        <f>'AI-10'!$T80</f>
        <v>#DIV/0!</v>
      </c>
      <c r="H26" s="193"/>
      <c r="I26" s="195" t="s">
        <v>10</v>
      </c>
      <c r="J26" s="196">
        <f>'LDP-10'!$V80</f>
        <v>5.7869246972688804E-4</v>
      </c>
      <c r="K26" s="197">
        <f>'LDP-10'!$W80</f>
        <v>-1.0291566258233409E-3</v>
      </c>
      <c r="L26" s="198">
        <f>'LDP-10'!$X80</f>
        <v>1.5916215141261181E-3</v>
      </c>
      <c r="M26" s="199">
        <f>'LDP-10'!$S80</f>
        <v>0.93063987971392237</v>
      </c>
      <c r="N26" s="200" t="e">
        <f>'LDP-10'!$T80</f>
        <v>#DIV/0!</v>
      </c>
    </row>
    <row r="27" spans="2:15" ht="12.75" customHeight="1" x14ac:dyDescent="0.25">
      <c r="B27" s="201" t="s">
        <v>11</v>
      </c>
      <c r="C27" s="186" t="e">
        <f>'AI-10'!$V78</f>
        <v>#VALUE!</v>
      </c>
      <c r="D27" s="187" t="e">
        <f>'AI-10'!$W78</f>
        <v>#VALUE!</v>
      </c>
      <c r="E27" s="188" t="e">
        <f>'AI-10'!$X78</f>
        <v>#VALUE!</v>
      </c>
      <c r="F27" s="189" t="e">
        <f>'AI-10'!$S78</f>
        <v>#DIV/0!</v>
      </c>
      <c r="G27" s="190" t="e">
        <f>'AI-10'!$T78</f>
        <v>#DIV/0!</v>
      </c>
      <c r="H27" s="193"/>
      <c r="I27" s="201" t="s">
        <v>11</v>
      </c>
      <c r="J27" s="186">
        <f>'LDP-10'!$V78</f>
        <v>3.4945867164788424E-3</v>
      </c>
      <c r="K27" s="187">
        <f>'LDP-10'!$W78</f>
        <v>-6.508001494751503E-3</v>
      </c>
      <c r="L27" s="188">
        <f>'LDP-10'!$X78</f>
        <v>4.0855780539215125E-3</v>
      </c>
      <c r="M27" s="189">
        <f>'LDP-10'!$S78</f>
        <v>0.92579885141981411</v>
      </c>
      <c r="N27" s="190" t="e">
        <f>'LDP-10'!$T78</f>
        <v>#DIV/0!</v>
      </c>
    </row>
    <row r="28" spans="2:15" ht="12.75" customHeight="1" x14ac:dyDescent="0.25">
      <c r="B28" s="202" t="s">
        <v>12</v>
      </c>
      <c r="C28" s="186" t="e">
        <f>'AI-10'!$V79</f>
        <v>#VALUE!</v>
      </c>
      <c r="D28" s="187" t="e">
        <f>'AI-10'!$W79</f>
        <v>#VALUE!</v>
      </c>
      <c r="E28" s="188" t="e">
        <f>'AI-10'!$X79</f>
        <v>#VALUE!</v>
      </c>
      <c r="F28" s="189" t="e">
        <f>'AI-10'!$S79</f>
        <v>#DIV/0!</v>
      </c>
      <c r="G28" s="190" t="e">
        <f>'AI-10'!$T79</f>
        <v>#DIV/0!</v>
      </c>
      <c r="H28" s="193"/>
      <c r="I28" s="202" t="s">
        <v>12</v>
      </c>
      <c r="J28" s="186">
        <f>'LDP-10'!$V79</f>
        <v>5.7869246972688804E-4</v>
      </c>
      <c r="K28" s="187">
        <f>'LDP-10'!$W79</f>
        <v>-1.0291566258233409E-3</v>
      </c>
      <c r="L28" s="188">
        <f>'LDP-10'!$X79</f>
        <v>1.5916215141261181E-3</v>
      </c>
      <c r="M28" s="189">
        <f>'LDP-10'!$S79</f>
        <v>0.93306987830675703</v>
      </c>
      <c r="N28" s="190" t="e">
        <f>'LDP-10'!$T79</f>
        <v>#DIV/0!</v>
      </c>
    </row>
    <row r="29" spans="2:15" ht="12.75" customHeight="1" x14ac:dyDescent="0.25"/>
    <row r="30" spans="2:15" ht="12.75" customHeight="1" x14ac:dyDescent="0.25">
      <c r="C30" s="206" t="s">
        <v>13</v>
      </c>
      <c r="D30" s="207"/>
      <c r="E30" s="207"/>
      <c r="F30" s="207"/>
      <c r="G30" s="208"/>
      <c r="I30" s="167"/>
      <c r="J30" s="206" t="s">
        <v>14</v>
      </c>
      <c r="K30" s="207"/>
      <c r="L30" s="207"/>
      <c r="M30" s="207"/>
      <c r="N30" s="208"/>
    </row>
    <row r="31" spans="2:15" ht="12.75" customHeight="1" x14ac:dyDescent="0.25">
      <c r="C31" s="206" t="str">
        <f>CONCATENATE("Over ",Summary!$J$3)</f>
        <v>Over HPM8.0</v>
      </c>
      <c r="D31" s="207"/>
      <c r="E31" s="207"/>
      <c r="F31" s="207"/>
      <c r="G31" s="208"/>
      <c r="I31" s="167"/>
      <c r="J31" s="206" t="str">
        <f>CONCATENATE("Over ",Summary!$J$3)</f>
        <v>Over HPM8.0</v>
      </c>
      <c r="K31" s="207"/>
      <c r="L31" s="207"/>
      <c r="M31" s="207"/>
      <c r="N31" s="208"/>
    </row>
    <row r="32" spans="2:15" ht="12.75" customHeight="1" x14ac:dyDescent="0.25">
      <c r="C32" s="161" t="s">
        <v>2</v>
      </c>
      <c r="D32" s="168" t="s">
        <v>3</v>
      </c>
      <c r="E32" s="169" t="s">
        <v>4</v>
      </c>
      <c r="F32" s="170" t="s">
        <v>5</v>
      </c>
      <c r="G32" s="171" t="s">
        <v>6</v>
      </c>
      <c r="I32" s="167"/>
      <c r="J32" s="161" t="s">
        <v>2</v>
      </c>
      <c r="K32" s="168" t="s">
        <v>3</v>
      </c>
      <c r="L32" s="169" t="s">
        <v>4</v>
      </c>
      <c r="M32" s="170" t="s">
        <v>5</v>
      </c>
      <c r="N32" s="171" t="s">
        <v>6</v>
      </c>
    </row>
    <row r="33" spans="2:14" ht="12.75" customHeight="1" x14ac:dyDescent="0.25">
      <c r="B33" s="172" t="str">
        <f>'AI-10'!$B$3</f>
        <v>Tango2</v>
      </c>
      <c r="C33" s="173" t="e">
        <f>'RA-10'!$V$3</f>
        <v>#VALUE!</v>
      </c>
      <c r="D33" s="174" t="e">
        <f>'RA-10'!$W$3</f>
        <v>#VALUE!</v>
      </c>
      <c r="E33" s="175" t="e">
        <f>'RA-10'!$X$3</f>
        <v>#VALUE!</v>
      </c>
      <c r="F33" s="176" t="e">
        <f>GEOMEAN('RA-10'!$S$3:'RA-10'!$S$6)</f>
        <v>#DIV/0!</v>
      </c>
      <c r="G33" s="177" t="e">
        <f>GEOMEAN('RA-10'!$T$3:'RA-10'!$T$6)</f>
        <v>#DIV/0!</v>
      </c>
      <c r="I33" s="172" t="str">
        <f>'AI-10'!$B$3</f>
        <v>Tango2</v>
      </c>
      <c r="J33" s="173" t="e">
        <f>'LDB-10'!$V$3</f>
        <v>#VALUE!</v>
      </c>
      <c r="K33" s="174" t="e">
        <f>'LDB-10'!$W$3</f>
        <v>#VALUE!</v>
      </c>
      <c r="L33" s="175" t="e">
        <f>'LDB-10'!$X$3</f>
        <v>#VALUE!</v>
      </c>
      <c r="M33" s="176" t="e">
        <f>GEOMEAN('LDB-10'!$S$3:'LDB-10'!$S$6)</f>
        <v>#DIV/0!</v>
      </c>
      <c r="N33" s="177" t="e">
        <f>GEOMEAN('LDB-10'!$T$3:'LDB-10'!$T$6)</f>
        <v>#DIV/0!</v>
      </c>
    </row>
    <row r="34" spans="2:14" ht="12.75" customHeight="1" x14ac:dyDescent="0.25">
      <c r="B34" s="178" t="str">
        <f>'AI-10'!$B$7</f>
        <v>ParkRunning3</v>
      </c>
      <c r="C34" s="179" t="e">
        <f>'RA-10'!$V$7</f>
        <v>#VALUE!</v>
      </c>
      <c r="D34" s="180" t="e">
        <f>'RA-10'!$W$7</f>
        <v>#VALUE!</v>
      </c>
      <c r="E34" s="181" t="e">
        <f>'RA-10'!$X$7</f>
        <v>#VALUE!</v>
      </c>
      <c r="F34" s="182" t="e">
        <f>GEOMEAN('RA-10'!$S$7:'RA-10'!$S$10)</f>
        <v>#DIV/0!</v>
      </c>
      <c r="G34" s="183" t="e">
        <f>GEOMEAN('RA-10'!$T$7:'RA-10'!$T$10)</f>
        <v>#DIV/0!</v>
      </c>
      <c r="I34" s="178" t="str">
        <f>'AI-10'!$B$7</f>
        <v>ParkRunning3</v>
      </c>
      <c r="J34" s="179" t="e">
        <f>'LDB-10'!$V$7</f>
        <v>#VALUE!</v>
      </c>
      <c r="K34" s="180" t="e">
        <f>'LDB-10'!$W$7</f>
        <v>#VALUE!</v>
      </c>
      <c r="L34" s="181" t="e">
        <f>'LDB-10'!$X$7</f>
        <v>#VALUE!</v>
      </c>
      <c r="M34" s="182" t="e">
        <f>GEOMEAN('LDB-10'!$S$7:'LDB-10'!$S$10)</f>
        <v>#DIV/0!</v>
      </c>
      <c r="N34" s="183" t="e">
        <f>GEOMEAN('LDB-10'!$T$7:'LDB-10'!$T$10)</f>
        <v>#DIV/0!</v>
      </c>
    </row>
    <row r="35" spans="2:14" ht="12.75" customHeight="1" x14ac:dyDescent="0.25">
      <c r="B35" s="178" t="str">
        <f>'AI-10'!$B$11</f>
        <v>Campfire</v>
      </c>
      <c r="C35" s="179" t="e">
        <f>'RA-10'!$V$11</f>
        <v>#VALUE!</v>
      </c>
      <c r="D35" s="180" t="e">
        <f>'RA-10'!$W$11</f>
        <v>#VALUE!</v>
      </c>
      <c r="E35" s="181" t="e">
        <f>'RA-10'!$X$11</f>
        <v>#VALUE!</v>
      </c>
      <c r="F35" s="184" t="e">
        <f>GEOMEAN('RA-10'!$S$11:'RA-10'!$S$14)</f>
        <v>#DIV/0!</v>
      </c>
      <c r="G35" s="183" t="e">
        <f>GEOMEAN('RA-10'!$T$11:'RA-10'!$T$14)</f>
        <v>#DIV/0!</v>
      </c>
      <c r="I35" s="178" t="str">
        <f>'AI-10'!$B$11</f>
        <v>Campfire</v>
      </c>
      <c r="J35" s="179" t="e">
        <f>'LDB-10'!$V$11</f>
        <v>#VALUE!</v>
      </c>
      <c r="K35" s="180" t="e">
        <f>'LDB-10'!$W$11</f>
        <v>#VALUE!</v>
      </c>
      <c r="L35" s="181" t="e">
        <f>'LDB-10'!$X$11</f>
        <v>#VALUE!</v>
      </c>
      <c r="M35" s="184" t="e">
        <f>GEOMEAN('LDB-10'!$S$11:'LDB-10'!$S$14)</f>
        <v>#DIV/0!</v>
      </c>
      <c r="N35" s="183" t="e">
        <f>GEOMEAN('LDB-10'!$T$11:'LDB-10'!$T$14)</f>
        <v>#DIV/0!</v>
      </c>
    </row>
    <row r="36" spans="2:14" ht="12.75" customHeight="1" x14ac:dyDescent="0.25">
      <c r="B36" s="185" t="str">
        <f>'AI-10'!$B$15</f>
        <v>DaylightRoad2</v>
      </c>
      <c r="C36" s="186" t="e">
        <f>'RA-10'!$V$15</f>
        <v>#VALUE!</v>
      </c>
      <c r="D36" s="187" t="e">
        <f>'RA-10'!$W$15</f>
        <v>#VALUE!</v>
      </c>
      <c r="E36" s="188" t="e">
        <f>'RA-10'!$X$15</f>
        <v>#VALUE!</v>
      </c>
      <c r="F36" s="189" t="e">
        <f>GEOMEAN('RA-10'!$S$15:'RA-10'!$S$18)</f>
        <v>#DIV/0!</v>
      </c>
      <c r="G36" s="190" t="e">
        <f>GEOMEAN('RA-10'!$T$15:'RA-10'!$T$18)</f>
        <v>#DIV/0!</v>
      </c>
      <c r="I36" s="185" t="str">
        <f>'AI-10'!$B$15</f>
        <v>DaylightRoad2</v>
      </c>
      <c r="J36" s="186" t="e">
        <f>'LDB-10'!$V$15</f>
        <v>#VALUE!</v>
      </c>
      <c r="K36" s="187" t="e">
        <f>'LDB-10'!$W$15</f>
        <v>#VALUE!</v>
      </c>
      <c r="L36" s="188" t="e">
        <f>'LDB-10'!$X$15</f>
        <v>#VALUE!</v>
      </c>
      <c r="M36" s="189" t="e">
        <f>GEOMEAN('LDB-10'!$S$15:'LDB-10'!$S$18)</f>
        <v>#DIV/0!</v>
      </c>
      <c r="N36" s="190" t="e">
        <f>GEOMEAN('LDB-10'!$T$15:'LDB-10'!$T$18)</f>
        <v>#DIV/0!</v>
      </c>
    </row>
    <row r="37" spans="2:14" ht="12.75" customHeight="1" x14ac:dyDescent="0.25">
      <c r="B37" s="172" t="str">
        <f>'AI-10'!$B$19</f>
        <v>Cactus</v>
      </c>
      <c r="C37" s="173" t="e">
        <f>'RA-10'!$V$19</f>
        <v>#VALUE!</v>
      </c>
      <c r="D37" s="174" t="e">
        <f>'RA-10'!$W$19</f>
        <v>#VALUE!</v>
      </c>
      <c r="E37" s="175" t="e">
        <f>'RA-10'!$X$19</f>
        <v>#VALUE!</v>
      </c>
      <c r="F37" s="176" t="e">
        <f>GEOMEAN('RA-10'!$S$19:'RA-10'!$S$22)</f>
        <v>#DIV/0!</v>
      </c>
      <c r="G37" s="177" t="e">
        <f>GEOMEAN('RA-10'!$T$19:'RA-10'!$T$22)</f>
        <v>#DIV/0!</v>
      </c>
      <c r="I37" s="172" t="str">
        <f>'AI-10'!$B$19</f>
        <v>Cactus</v>
      </c>
      <c r="J37" s="173" t="e">
        <f>'LDB-10'!$V$19</f>
        <v>#VALUE!</v>
      </c>
      <c r="K37" s="174" t="e">
        <f>'LDB-10'!$W$19</f>
        <v>#VALUE!</v>
      </c>
      <c r="L37" s="175" t="e">
        <f>'LDB-10'!$X$19</f>
        <v>#VALUE!</v>
      </c>
      <c r="M37" s="176" t="e">
        <f>GEOMEAN('LDB-10'!$S$19:'LDB-10'!$S$22)</f>
        <v>#DIV/0!</v>
      </c>
      <c r="N37" s="177" t="e">
        <f>GEOMEAN('LDB-10'!$T$19:'LDB-10'!$T$22)</f>
        <v>#DIV/0!</v>
      </c>
    </row>
    <row r="38" spans="2:14" ht="12.75" customHeight="1" x14ac:dyDescent="0.25">
      <c r="B38" s="178" t="str">
        <f>'AI-10'!$B$23</f>
        <v>BasketballDrive</v>
      </c>
      <c r="C38" s="179" t="e">
        <f>'RA-10'!$V$23</f>
        <v>#VALUE!</v>
      </c>
      <c r="D38" s="180" t="e">
        <f>'RA-10'!$W$23</f>
        <v>#VALUE!</v>
      </c>
      <c r="E38" s="181" t="e">
        <f>'RA-10'!$X$23</f>
        <v>#VALUE!</v>
      </c>
      <c r="F38" s="182" t="e">
        <f>GEOMEAN('RA-10'!$S$23:'RA-10'!$S$26)</f>
        <v>#DIV/0!</v>
      </c>
      <c r="G38" s="183" t="e">
        <f>GEOMEAN('RA-10'!$T$23:'RA-10'!$T$26)</f>
        <v>#DIV/0!</v>
      </c>
      <c r="I38" s="178" t="str">
        <f>'AI-10'!$B$23</f>
        <v>BasketballDrive</v>
      </c>
      <c r="J38" s="179" t="e">
        <f>'LDB-10'!$V$23</f>
        <v>#VALUE!</v>
      </c>
      <c r="K38" s="180" t="e">
        <f>'LDB-10'!$W$23</f>
        <v>#VALUE!</v>
      </c>
      <c r="L38" s="181" t="e">
        <f>'LDB-10'!$X$23</f>
        <v>#VALUE!</v>
      </c>
      <c r="M38" s="182" t="e">
        <f>GEOMEAN('LDB-10'!$S$23:'LDB-10'!$S$26)</f>
        <v>#DIV/0!</v>
      </c>
      <c r="N38" s="183" t="e">
        <f>GEOMEAN('LDB-10'!$T$23:'LDB-10'!$T$26)</f>
        <v>#DIV/0!</v>
      </c>
    </row>
    <row r="39" spans="2:14" ht="12.75" customHeight="1" x14ac:dyDescent="0.25">
      <c r="B39" s="178" t="str">
        <f>'AI-10'!$B$27</f>
        <v>MarketPlace</v>
      </c>
      <c r="C39" s="179" t="e">
        <f>'RA-10'!$V$27</f>
        <v>#VALUE!</v>
      </c>
      <c r="D39" s="180" t="e">
        <f>'RA-10'!$W$27</f>
        <v>#VALUE!</v>
      </c>
      <c r="E39" s="181" t="e">
        <f>'RA-10'!$X$27</f>
        <v>#VALUE!</v>
      </c>
      <c r="F39" s="182" t="e">
        <f>GEOMEAN('RA-10'!$S$27:'RA-10'!$S$30)</f>
        <v>#DIV/0!</v>
      </c>
      <c r="G39" s="183" t="e">
        <f>GEOMEAN('RA-10'!$T$27:'RA-10'!$T$30)</f>
        <v>#DIV/0!</v>
      </c>
      <c r="I39" s="178" t="str">
        <f>'AI-10'!$B$27</f>
        <v>MarketPlace</v>
      </c>
      <c r="J39" s="179" t="e">
        <f>'LDB-10'!$V$27</f>
        <v>#VALUE!</v>
      </c>
      <c r="K39" s="180" t="e">
        <f>'LDB-10'!$W$27</f>
        <v>#VALUE!</v>
      </c>
      <c r="L39" s="181" t="e">
        <f>'LDB-10'!$X$27</f>
        <v>#VALUE!</v>
      </c>
      <c r="M39" s="182" t="e">
        <f>GEOMEAN('LDB-10'!$S$27:'LDB-10'!$S$30)</f>
        <v>#DIV/0!</v>
      </c>
      <c r="N39" s="183" t="e">
        <f>GEOMEAN('LDB-10'!$T$27:'LDB-10'!$T$30)</f>
        <v>#DIV/0!</v>
      </c>
    </row>
    <row r="40" spans="2:14" ht="12.75" customHeight="1" x14ac:dyDescent="0.25">
      <c r="B40" s="185" t="str">
        <f>'AI-10'!$B$31</f>
        <v>RitualDance</v>
      </c>
      <c r="C40" s="186" t="e">
        <f>'RA-10'!$V$31</f>
        <v>#VALUE!</v>
      </c>
      <c r="D40" s="187" t="e">
        <f>'RA-10'!$W$31</f>
        <v>#VALUE!</v>
      </c>
      <c r="E40" s="188" t="e">
        <f>'RA-10'!$X$31</f>
        <v>#VALUE!</v>
      </c>
      <c r="F40" s="189" t="e">
        <f>GEOMEAN('RA-10'!$S$31:'RA-10'!$S$34)</f>
        <v>#DIV/0!</v>
      </c>
      <c r="G40" s="190" t="e">
        <f>GEOMEAN('RA-10'!$T$31:'RA-10'!$T$34)</f>
        <v>#DIV/0!</v>
      </c>
      <c r="I40" s="185" t="str">
        <f>'AI-10'!$B$31</f>
        <v>RitualDance</v>
      </c>
      <c r="J40" s="186" t="e">
        <f>'LDB-10'!$V$31</f>
        <v>#VALUE!</v>
      </c>
      <c r="K40" s="187" t="e">
        <f>'LDB-10'!$W$31</f>
        <v>#VALUE!</v>
      </c>
      <c r="L40" s="188" t="e">
        <f>'LDB-10'!$X$31</f>
        <v>#VALUE!</v>
      </c>
      <c r="M40" s="189" t="e">
        <f>GEOMEAN('LDB-10'!$S$31:'LDB-10'!$S$34)</f>
        <v>#DIV/0!</v>
      </c>
      <c r="N40" s="190" t="e">
        <f>GEOMEAN('LDB-10'!$T$31:'LDB-10'!$T$34)</f>
        <v>#DIV/0!</v>
      </c>
    </row>
    <row r="41" spans="2:14" ht="12.75" customHeight="1" x14ac:dyDescent="0.25">
      <c r="B41" s="172" t="str">
        <f>'AI-10'!$B$35</f>
        <v>City</v>
      </c>
      <c r="C41" s="173" t="e">
        <f>'RA-10'!$V$35</f>
        <v>#VALUE!</v>
      </c>
      <c r="D41" s="174" t="e">
        <f>'RA-10'!$W$35</f>
        <v>#VALUE!</v>
      </c>
      <c r="E41" s="175" t="e">
        <f>'RA-10'!$X$35</f>
        <v>#VALUE!</v>
      </c>
      <c r="F41" s="176" t="e">
        <f>GEOMEAN('RA-10'!$S$35:'RA-10'!$S$38)</f>
        <v>#DIV/0!</v>
      </c>
      <c r="G41" s="177" t="e">
        <f>GEOMEAN('RA-10'!$T$35:'RA-10'!$T$38)</f>
        <v>#DIV/0!</v>
      </c>
      <c r="I41" s="172" t="str">
        <f>'AI-10'!$B$35</f>
        <v>City</v>
      </c>
      <c r="J41" s="173" t="e">
        <f>'LDB-10'!$V$35</f>
        <v>#VALUE!</v>
      </c>
      <c r="K41" s="174" t="e">
        <f>'LDB-10'!$W$35</f>
        <v>#VALUE!</v>
      </c>
      <c r="L41" s="175" t="e">
        <f>'LDB-10'!$X$35</f>
        <v>#VALUE!</v>
      </c>
      <c r="M41" s="176" t="e">
        <f>GEOMEAN('LDB-10'!$S$35:'LDB-10'!$S$38)</f>
        <v>#DIV/0!</v>
      </c>
      <c r="N41" s="177" t="e">
        <f>GEOMEAN('LDB-10'!$T$35:'LDB-10'!$T$38)</f>
        <v>#DIV/0!</v>
      </c>
    </row>
    <row r="42" spans="2:14" ht="12.75" customHeight="1" x14ac:dyDescent="0.25">
      <c r="B42" s="178" t="str">
        <f>'AI-10'!$B$39</f>
        <v>Crew</v>
      </c>
      <c r="C42" s="179" t="e">
        <f>'RA-10'!$V$39</f>
        <v>#VALUE!</v>
      </c>
      <c r="D42" s="180" t="e">
        <f>'RA-10'!$W$39</f>
        <v>#VALUE!</v>
      </c>
      <c r="E42" s="181" t="e">
        <f>'RA-10'!$X$39</f>
        <v>#VALUE!</v>
      </c>
      <c r="F42" s="182" t="e">
        <f>GEOMEAN('RA-10'!$S$39:'RA-10'!$S$42)</f>
        <v>#DIV/0!</v>
      </c>
      <c r="G42" s="183" t="e">
        <f>GEOMEAN('RA-10'!$T$39:'RA-10'!$T$42)</f>
        <v>#DIV/0!</v>
      </c>
      <c r="I42" s="178" t="str">
        <f>'AI-10'!$B$39</f>
        <v>Crew</v>
      </c>
      <c r="J42" s="179" t="e">
        <f>'LDB-10'!$V$39</f>
        <v>#VALUE!</v>
      </c>
      <c r="K42" s="180" t="e">
        <f>'LDB-10'!$W$39</f>
        <v>#VALUE!</v>
      </c>
      <c r="L42" s="181" t="e">
        <f>'LDB-10'!$X$39</f>
        <v>#VALUE!</v>
      </c>
      <c r="M42" s="182" t="e">
        <f>GEOMEAN('LDB-10'!$S$39:'LDB-10'!$S$42)</f>
        <v>#DIV/0!</v>
      </c>
      <c r="N42" s="183" t="e">
        <f>GEOMEAN('LDB-10'!$T$39:'LDB-10'!$T$42)</f>
        <v>#DIV/0!</v>
      </c>
    </row>
    <row r="43" spans="2:14" ht="12.75" customHeight="1" x14ac:dyDescent="0.25">
      <c r="B43" s="178" t="str">
        <f>'AI-10'!$B$43</f>
        <v>vidyo1</v>
      </c>
      <c r="C43" s="179" t="e">
        <f>'RA-10'!$V$43</f>
        <v>#VALUE!</v>
      </c>
      <c r="D43" s="180" t="e">
        <f>'RA-10'!$W$43</f>
        <v>#VALUE!</v>
      </c>
      <c r="E43" s="181" t="e">
        <f>'RA-10'!$X$43</f>
        <v>#VALUE!</v>
      </c>
      <c r="F43" s="182" t="e">
        <f>GEOMEAN('RA-10'!$S$43:'RA-10'!$S$46)</f>
        <v>#DIV/0!</v>
      </c>
      <c r="G43" s="183" t="e">
        <f>GEOMEAN('RA-10'!$T$43:'RA-10'!$T$46)</f>
        <v>#DIV/0!</v>
      </c>
      <c r="I43" s="178" t="str">
        <f>'AI-10'!$B$43</f>
        <v>vidyo1</v>
      </c>
      <c r="J43" s="179">
        <f>'LDB-10'!$V$43</f>
        <v>-3.087583411997441E-3</v>
      </c>
      <c r="K43" s="180">
        <f>'LDB-10'!$W$43</f>
        <v>-1.0697452162239385E-3</v>
      </c>
      <c r="L43" s="181">
        <f>'LDB-10'!$X$43</f>
        <v>-1.7542778127445091E-3</v>
      </c>
      <c r="M43" s="182">
        <f>GEOMEAN('LDB-10'!$S$43:'LDB-10'!$S$46)</f>
        <v>0.91316283711673052</v>
      </c>
      <c r="N43" s="183" t="e">
        <f>GEOMEAN('LDB-10'!$T$43:'LDB-10'!$T$46)</f>
        <v>#DIV/0!</v>
      </c>
    </row>
    <row r="44" spans="2:14" ht="12.75" customHeight="1" x14ac:dyDescent="0.25">
      <c r="B44" s="185" t="str">
        <f>'AI-10'!$B$47</f>
        <v>vidyo3</v>
      </c>
      <c r="C44" s="186" t="e">
        <f>'RA-10'!$V$47</f>
        <v>#VALUE!</v>
      </c>
      <c r="D44" s="187" t="e">
        <f>'RA-10'!$W$47</f>
        <v>#VALUE!</v>
      </c>
      <c r="E44" s="188" t="e">
        <f>'RA-10'!$X$47</f>
        <v>#VALUE!</v>
      </c>
      <c r="F44" s="189" t="e">
        <f>GEOMEAN('RA-10'!$S$47:'RA-10'!$S$50)</f>
        <v>#DIV/0!</v>
      </c>
      <c r="G44" s="190" t="e">
        <f>GEOMEAN('RA-10'!$T$47:'RA-10'!$T$50)</f>
        <v>#DIV/0!</v>
      </c>
      <c r="I44" s="185" t="str">
        <f>'AI-10'!$B$47</f>
        <v>vidyo3</v>
      </c>
      <c r="J44" s="186">
        <f>'LDB-10'!$V$47</f>
        <v>-3.9342623637943497E-3</v>
      </c>
      <c r="K44" s="187">
        <f>'LDB-10'!$W$47</f>
        <v>-8.5823317902602447E-3</v>
      </c>
      <c r="L44" s="188">
        <f>'LDB-10'!$X$47</f>
        <v>-7.2735280181459583E-3</v>
      </c>
      <c r="M44" s="189">
        <f>GEOMEAN('LDB-10'!$S$47:'LDB-10'!$S$50)</f>
        <v>0.93483145490994168</v>
      </c>
      <c r="N44" s="190" t="e">
        <f>GEOMEAN('LDB-10'!$T$47:'LDB-10'!$T$50)</f>
        <v>#DIV/0!</v>
      </c>
    </row>
    <row r="45" spans="2:14" ht="12.75" customHeight="1" x14ac:dyDescent="0.25">
      <c r="B45" s="172" t="str">
        <f>'AI-10'!$B$51</f>
        <v>MetroEntrance</v>
      </c>
      <c r="C45" s="173" t="e">
        <f>'RA-10'!$V$51</f>
        <v>#VALUE!</v>
      </c>
      <c r="D45" s="174" t="e">
        <f>'RA-10'!$W$51</f>
        <v>#VALUE!</v>
      </c>
      <c r="E45" s="175" t="e">
        <f>'RA-10'!$X$51</f>
        <v>#VALUE!</v>
      </c>
      <c r="F45" s="176" t="e">
        <f>GEOMEAN('RA-10'!$S$51:'RA-10'!$S$54)</f>
        <v>#DIV/0!</v>
      </c>
      <c r="G45" s="177" t="e">
        <f>GEOMEAN('RA-10'!$T$51:'RA-10'!$T$54)</f>
        <v>#DIV/0!</v>
      </c>
      <c r="I45" s="172" t="str">
        <f>'AI-10'!$B$51</f>
        <v>MetroEntrance</v>
      </c>
      <c r="J45" s="173">
        <f>'LDB-10'!$V$51</f>
        <v>-1.1745918961546753E-2</v>
      </c>
      <c r="K45" s="174">
        <f>'LDB-10'!$W$51</f>
        <v>-1.0741823012477614E-2</v>
      </c>
      <c r="L45" s="175">
        <f>'LDB-10'!$X$51</f>
        <v>-3.1308211464322389E-2</v>
      </c>
      <c r="M45" s="176">
        <f>GEOMEAN('LDB-10'!$S$51:'LDB-10'!$S$54)</f>
        <v>0.95053698839907608</v>
      </c>
      <c r="N45" s="177" t="e">
        <f>GEOMEAN('LDB-10'!$T$51:'LDB-10'!$T$54)</f>
        <v>#DIV/0!</v>
      </c>
    </row>
    <row r="46" spans="2:14" ht="12.75" customHeight="1" x14ac:dyDescent="0.25">
      <c r="B46" s="185" t="str">
        <f>'AI-10'!$B$55</f>
        <v>NightTraffic3</v>
      </c>
      <c r="C46" s="186" t="e">
        <f>'RA-10'!$V$55</f>
        <v>#VALUE!</v>
      </c>
      <c r="D46" s="187" t="e">
        <f>'RA-10'!$W$55</f>
        <v>#VALUE!</v>
      </c>
      <c r="E46" s="188" t="e">
        <f>'RA-10'!$X$55</f>
        <v>#VALUE!</v>
      </c>
      <c r="F46" s="189" t="e">
        <f>GEOMEAN('RA-10'!$S$55:'RA-10'!$S$58)</f>
        <v>#DIV/0!</v>
      </c>
      <c r="G46" s="190" t="e">
        <f>GEOMEAN('RA-10'!$T$55:'RA-10'!$T$58)</f>
        <v>#DIV/0!</v>
      </c>
      <c r="I46" s="185" t="str">
        <f>'AI-10'!$B$55</f>
        <v>NightTraffic3</v>
      </c>
      <c r="J46" s="186" t="e">
        <f>'LDB-10'!$V$55</f>
        <v>#VALUE!</v>
      </c>
      <c r="K46" s="187" t="e">
        <f>'LDB-10'!$W$55</f>
        <v>#VALUE!</v>
      </c>
      <c r="L46" s="188" t="e">
        <f>'LDB-10'!$X$55</f>
        <v>#VALUE!</v>
      </c>
      <c r="M46" s="189" t="e">
        <f>GEOMEAN('LDB-10'!$S$55:'LDB-10'!$S$58)</f>
        <v>#DIV/0!</v>
      </c>
      <c r="N46" s="190" t="e">
        <f>GEOMEAN('LDB-10'!$T$55:'LDB-10'!$T$58)</f>
        <v>#DIV/0!</v>
      </c>
    </row>
    <row r="47" spans="2:14" ht="12.75" customHeight="1" x14ac:dyDescent="0.25">
      <c r="B47" s="172" t="str">
        <f>'AI-10'!$B$59</f>
        <v>FlyingGraphics</v>
      </c>
      <c r="C47" s="173" t="e">
        <f>'RA-10'!$V$59</f>
        <v>#VALUE!</v>
      </c>
      <c r="D47" s="174" t="e">
        <f>'RA-10'!$W$59</f>
        <v>#VALUE!</v>
      </c>
      <c r="E47" s="175" t="e">
        <f>'RA-10'!$X$59</f>
        <v>#VALUE!</v>
      </c>
      <c r="F47" s="176" t="e">
        <f>GEOMEAN('RA-10'!$S$59:'RA-10'!$S$62)</f>
        <v>#DIV/0!</v>
      </c>
      <c r="G47" s="177" t="e">
        <f>GEOMEAN('RA-10'!$T$59:'RA-10'!$T$62)</f>
        <v>#DIV/0!</v>
      </c>
      <c r="I47" s="172" t="str">
        <f>'AI-10'!$B$59</f>
        <v>FlyingGraphics</v>
      </c>
      <c r="J47" s="173">
        <f>'LDB-10'!$V$59</f>
        <v>-6.1786718771580373E-3</v>
      </c>
      <c r="K47" s="174">
        <f>'LDB-10'!$W$59</f>
        <v>-6.1514638772585117E-3</v>
      </c>
      <c r="L47" s="175">
        <f>'LDB-10'!$X$59</f>
        <v>1.7087985181341026E-4</v>
      </c>
      <c r="M47" s="176">
        <f>GEOMEAN('LDB-10'!$S$59:'LDB-10'!$S$62)</f>
        <v>0.95356554915900715</v>
      </c>
      <c r="N47" s="177" t="e">
        <f>GEOMEAN('LDB-10'!$T$59:'LDB-10'!$T$62)</f>
        <v>#DIV/0!</v>
      </c>
    </row>
    <row r="48" spans="2:14" ht="12.75" customHeight="1" x14ac:dyDescent="0.25">
      <c r="B48" s="178" t="str">
        <f>'AI-10'!$B$63</f>
        <v>Desktop</v>
      </c>
      <c r="C48" s="179" t="e">
        <f>'RA-10'!$V$63</f>
        <v>#VALUE!</v>
      </c>
      <c r="D48" s="180" t="e">
        <f>'RA-10'!$W$63</f>
        <v>#VALUE!</v>
      </c>
      <c r="E48" s="181" t="e">
        <f>'RA-10'!$X$63</f>
        <v>#VALUE!</v>
      </c>
      <c r="F48" s="182" t="e">
        <f>GEOMEAN('RA-10'!$S$63:'RA-10'!$S$66)</f>
        <v>#DIV/0!</v>
      </c>
      <c r="G48" s="183" t="e">
        <f>GEOMEAN('RA-10'!$T$63:'RA-10'!$T$66)</f>
        <v>#DIV/0!</v>
      </c>
      <c r="I48" s="178" t="str">
        <f>'AI-10'!$B$63</f>
        <v>Desktop</v>
      </c>
      <c r="J48" s="179">
        <f>'LDB-10'!$V$63</f>
        <v>-5.5601012809801675E-3</v>
      </c>
      <c r="K48" s="180">
        <f>'LDB-10'!$W$63</f>
        <v>-4.7745022552542205E-3</v>
      </c>
      <c r="L48" s="181">
        <f>'LDB-10'!$X$63</f>
        <v>-1.105354004559167E-2</v>
      </c>
      <c r="M48" s="182">
        <f>GEOMEAN('LDB-10'!$S$63:'LDB-10'!$S$66)</f>
        <v>0.96770856083105272</v>
      </c>
      <c r="N48" s="183" t="e">
        <f>GEOMEAN('LDB-10'!$T$63:'LDB-10'!$T$66)</f>
        <v>#DIV/0!</v>
      </c>
    </row>
    <row r="49" spans="2:14" ht="12.75" customHeight="1" x14ac:dyDescent="0.25">
      <c r="B49" s="178" t="str">
        <f>'AI-10'!$B$67</f>
        <v>ArenaOfValor</v>
      </c>
      <c r="C49" s="179" t="e">
        <f>'RA-10'!$V$67</f>
        <v>#VALUE!</v>
      </c>
      <c r="D49" s="180" t="e">
        <f>'RA-10'!$W$67</f>
        <v>#VALUE!</v>
      </c>
      <c r="E49" s="181" t="e">
        <f>'RA-10'!$X$67</f>
        <v>#VALUE!</v>
      </c>
      <c r="F49" s="182" t="e">
        <f>GEOMEAN('RA-10'!$S$67:'RA-10'!$S$70)</f>
        <v>#DIV/0!</v>
      </c>
      <c r="G49" s="183" t="e">
        <f>GEOMEAN('RA-10'!$T$67:'RA-10'!$T$70)</f>
        <v>#DIV/0!</v>
      </c>
      <c r="I49" s="178" t="str">
        <f>'AI-10'!$B$67</f>
        <v>ArenaOfValor</v>
      </c>
      <c r="J49" s="179">
        <f>'LDB-10'!$V$67</f>
        <v>-5.7845821333051273E-3</v>
      </c>
      <c r="K49" s="180">
        <f>'LDB-10'!$W$67</f>
        <v>-8.2475681788645172E-3</v>
      </c>
      <c r="L49" s="181">
        <f>'LDB-10'!$X$67</f>
        <v>-3.8577640146383319E-3</v>
      </c>
      <c r="M49" s="182">
        <f>GEOMEAN('LDB-10'!$S$67:'LDB-10'!$S$70)</f>
        <v>0.96353375720004475</v>
      </c>
      <c r="N49" s="183" t="e">
        <f>GEOMEAN('LDB-10'!$T$67:'LDB-10'!$T$70)</f>
        <v>#DIV/0!</v>
      </c>
    </row>
    <row r="50" spans="2:14" ht="12.75" customHeight="1" x14ac:dyDescent="0.25">
      <c r="B50" s="185" t="str">
        <f>'AI-10'!$B$71</f>
        <v>program_vidyo</v>
      </c>
      <c r="C50" s="186" t="e">
        <f>'RA-10'!$V$71</f>
        <v>#VALUE!</v>
      </c>
      <c r="D50" s="187" t="e">
        <f>'RA-10'!$W$71</f>
        <v>#VALUE!</v>
      </c>
      <c r="E50" s="188" t="e">
        <f>'RA-10'!$X$71</f>
        <v>#VALUE!</v>
      </c>
      <c r="F50" s="189" t="e">
        <f>GEOMEAN('RA-10'!$S$71:'RA-10'!$S$74)</f>
        <v>#DIV/0!</v>
      </c>
      <c r="G50" s="190" t="e">
        <f>GEOMEAN('RA-10'!$T$71:'RA-10'!$T$74)</f>
        <v>#DIV/0!</v>
      </c>
      <c r="I50" s="185" t="str">
        <f>'AI-10'!$B$71</f>
        <v>program_vidyo</v>
      </c>
      <c r="J50" s="186" t="e">
        <f>'LDB-10'!$V$71</f>
        <v>#VALUE!</v>
      </c>
      <c r="K50" s="187" t="e">
        <f>'LDB-10'!$W$71</f>
        <v>#VALUE!</v>
      </c>
      <c r="L50" s="188" t="e">
        <f>'LDB-10'!$X$71</f>
        <v>#VALUE!</v>
      </c>
      <c r="M50" s="189" t="e">
        <f>GEOMEAN('LDB-10'!$S$71:'LDB-10'!$S$74)</f>
        <v>#DIV/0!</v>
      </c>
      <c r="N50" s="190" t="e">
        <f>GEOMEAN('LDB-10'!$T$71:'LDB-10'!$T$74)</f>
        <v>#DIV/0!</v>
      </c>
    </row>
    <row r="51" spans="2:14" ht="12.75" customHeight="1" x14ac:dyDescent="0.25">
      <c r="B51" s="191" t="s">
        <v>7</v>
      </c>
      <c r="C51" s="173" t="e">
        <f>'RA-10'!$V75</f>
        <v>#VALUE!</v>
      </c>
      <c r="D51" s="174" t="e">
        <f>'RA-10'!$W75</f>
        <v>#VALUE!</v>
      </c>
      <c r="E51" s="175" t="e">
        <f>'RA-10'!$X75</f>
        <v>#VALUE!</v>
      </c>
      <c r="F51" s="192" t="e">
        <f>'RA-10'!$S75</f>
        <v>#DIV/0!</v>
      </c>
      <c r="G51" s="177" t="e">
        <f>'RA-10'!$T75</f>
        <v>#DIV/0!</v>
      </c>
      <c r="I51" s="191" t="s">
        <v>7</v>
      </c>
      <c r="J51" s="173" t="e">
        <f>'LDB-10'!$V75</f>
        <v>#VALUE!</v>
      </c>
      <c r="K51" s="174" t="e">
        <f>'LDB-10'!$W75</f>
        <v>#VALUE!</v>
      </c>
      <c r="L51" s="175" t="e">
        <f>'LDB-10'!$X75</f>
        <v>#VALUE!</v>
      </c>
      <c r="M51" s="192" t="e">
        <f>'LDB-10'!$S75</f>
        <v>#DIV/0!</v>
      </c>
      <c r="N51" s="177" t="e">
        <f>'LDB-10'!$T75</f>
        <v>#DIV/0!</v>
      </c>
    </row>
    <row r="52" spans="2:14" ht="12.75" customHeight="1" x14ac:dyDescent="0.25">
      <c r="B52" s="194" t="s">
        <v>8</v>
      </c>
      <c r="C52" s="179" t="e">
        <f>'RA-10'!$V76</f>
        <v>#VALUE!</v>
      </c>
      <c r="D52" s="180" t="e">
        <f>'RA-10'!$W76</f>
        <v>#VALUE!</v>
      </c>
      <c r="E52" s="181" t="e">
        <f>'RA-10'!$X76</f>
        <v>#VALUE!</v>
      </c>
      <c r="F52" s="184" t="e">
        <f>'RA-10'!$S76</f>
        <v>#DIV/0!</v>
      </c>
      <c r="G52" s="183" t="e">
        <f>'RA-10'!$T76</f>
        <v>#DIV/0!</v>
      </c>
      <c r="I52" s="194" t="s">
        <v>8</v>
      </c>
      <c r="J52" s="179" t="e">
        <f>'LDB-10'!$V76</f>
        <v>#VALUE!</v>
      </c>
      <c r="K52" s="180" t="e">
        <f>'LDB-10'!$W76</f>
        <v>#VALUE!</v>
      </c>
      <c r="L52" s="181" t="e">
        <f>'LDB-10'!$X76</f>
        <v>#VALUE!</v>
      </c>
      <c r="M52" s="184" t="e">
        <f>'LDB-10'!$S76</f>
        <v>#DIV/0!</v>
      </c>
      <c r="N52" s="183" t="e">
        <f>'LDB-10'!$T76</f>
        <v>#DIV/0!</v>
      </c>
    </row>
    <row r="53" spans="2:14" ht="12.75" customHeight="1" x14ac:dyDescent="0.25">
      <c r="B53" s="194" t="s">
        <v>9</v>
      </c>
      <c r="C53" s="179" t="e">
        <f>'RA-10'!$V77</f>
        <v>#VALUE!</v>
      </c>
      <c r="D53" s="180" t="e">
        <f>'RA-10'!$W77</f>
        <v>#VALUE!</v>
      </c>
      <c r="E53" s="181" t="e">
        <f>'RA-10'!$X77</f>
        <v>#VALUE!</v>
      </c>
      <c r="F53" s="184" t="e">
        <f>'RA-10'!$S77</f>
        <v>#DIV/0!</v>
      </c>
      <c r="G53" s="183" t="e">
        <f>'RA-10'!$T77</f>
        <v>#DIV/0!</v>
      </c>
      <c r="I53" s="194" t="s">
        <v>9</v>
      </c>
      <c r="J53" s="179" t="e">
        <f>'LDB-10'!$V77</f>
        <v>#VALUE!</v>
      </c>
      <c r="K53" s="180" t="e">
        <f>'LDB-10'!$W77</f>
        <v>#VALUE!</v>
      </c>
      <c r="L53" s="181" t="e">
        <f>'LDB-10'!$X77</f>
        <v>#VALUE!</v>
      </c>
      <c r="M53" s="184" t="e">
        <f>'LDB-10'!$S77</f>
        <v>#DIV/0!</v>
      </c>
      <c r="N53" s="183" t="e">
        <f>'LDB-10'!$T77</f>
        <v>#DIV/0!</v>
      </c>
    </row>
    <row r="54" spans="2:14" ht="12.75" customHeight="1" x14ac:dyDescent="0.25">
      <c r="B54" s="195" t="s">
        <v>10</v>
      </c>
      <c r="C54" s="196" t="e">
        <f>'RA-10'!$V80</f>
        <v>#VALUE!</v>
      </c>
      <c r="D54" s="197" t="e">
        <f>'RA-10'!$W80</f>
        <v>#VALUE!</v>
      </c>
      <c r="E54" s="198" t="e">
        <f>'RA-10'!$X80</f>
        <v>#VALUE!</v>
      </c>
      <c r="F54" s="199" t="e">
        <f>'RA-10'!$S80</f>
        <v>#DIV/0!</v>
      </c>
      <c r="G54" s="200" t="e">
        <f>'RA-10'!$T80</f>
        <v>#DIV/0!</v>
      </c>
      <c r="I54" s="195" t="s">
        <v>10</v>
      </c>
      <c r="J54" s="196" t="e">
        <f>'LDB-10'!$V80</f>
        <v>#VALUE!</v>
      </c>
      <c r="K54" s="197" t="e">
        <f>'LDB-10'!$W80</f>
        <v>#VALUE!</v>
      </c>
      <c r="L54" s="198" t="e">
        <f>'LDB-10'!$X80</f>
        <v>#VALUE!</v>
      </c>
      <c r="M54" s="199" t="e">
        <f>'LDB-10'!$S80</f>
        <v>#DIV/0!</v>
      </c>
      <c r="N54" s="200" t="e">
        <f>'LDB-10'!$T80</f>
        <v>#DIV/0!</v>
      </c>
    </row>
    <row r="55" spans="2:14" ht="12.75" customHeight="1" x14ac:dyDescent="0.25">
      <c r="B55" s="201" t="s">
        <v>11</v>
      </c>
      <c r="C55" s="186" t="e">
        <f>'RA-10'!$V78</f>
        <v>#VALUE!</v>
      </c>
      <c r="D55" s="187" t="e">
        <f>'RA-10'!$W78</f>
        <v>#VALUE!</v>
      </c>
      <c r="E55" s="188" t="e">
        <f>'RA-10'!$X78</f>
        <v>#VALUE!</v>
      </c>
      <c r="F55" s="189" t="e">
        <f>'RA-10'!$S78</f>
        <v>#DIV/0!</v>
      </c>
      <c r="G55" s="190" t="e">
        <f>'RA-10'!$T78</f>
        <v>#DIV/0!</v>
      </c>
      <c r="I55" s="201" t="s">
        <v>11</v>
      </c>
      <c r="J55" s="186" t="e">
        <f>'LDB-10'!$V78</f>
        <v>#VALUE!</v>
      </c>
      <c r="K55" s="187" t="e">
        <f>'LDB-10'!$W78</f>
        <v>#VALUE!</v>
      </c>
      <c r="L55" s="188" t="e">
        <f>'LDB-10'!$X78</f>
        <v>#VALUE!</v>
      </c>
      <c r="M55" s="189" t="e">
        <f>'LDB-10'!$S78</f>
        <v>#DIV/0!</v>
      </c>
      <c r="N55" s="190" t="e">
        <f>'LDB-10'!$T78</f>
        <v>#DIV/0!</v>
      </c>
    </row>
    <row r="56" spans="2:14" ht="12.75" customHeight="1" x14ac:dyDescent="0.25">
      <c r="B56" s="202" t="s">
        <v>12</v>
      </c>
      <c r="C56" s="186" t="e">
        <f>'RA-10'!$V79</f>
        <v>#VALUE!</v>
      </c>
      <c r="D56" s="187" t="e">
        <f>'RA-10'!$W79</f>
        <v>#VALUE!</v>
      </c>
      <c r="E56" s="188" t="e">
        <f>'RA-10'!$X79</f>
        <v>#VALUE!</v>
      </c>
      <c r="F56" s="189" t="e">
        <f>'RA-10'!$S79</f>
        <v>#DIV/0!</v>
      </c>
      <c r="G56" s="190" t="e">
        <f>'RA-10'!$T79</f>
        <v>#DIV/0!</v>
      </c>
      <c r="I56" s="202" t="s">
        <v>12</v>
      </c>
      <c r="J56" s="186" t="e">
        <f>'LDB-10'!$V79</f>
        <v>#VALUE!</v>
      </c>
      <c r="K56" s="187" t="e">
        <f>'LDB-10'!$W79</f>
        <v>#VALUE!</v>
      </c>
      <c r="L56" s="188" t="e">
        <f>'LDB-10'!$X79</f>
        <v>#VALUE!</v>
      </c>
      <c r="M56" s="189" t="e">
        <f>'LDB-10'!$S79</f>
        <v>#DIV/0!</v>
      </c>
      <c r="N56" s="190" t="e">
        <f>'LDB-10'!$T79</f>
        <v>#DIV/0!</v>
      </c>
    </row>
    <row r="57" spans="2:14" ht="12.75" customHeight="1" x14ac:dyDescent="0.25">
      <c r="C57" s="166"/>
      <c r="D57" s="166"/>
      <c r="E57" s="166"/>
      <c r="F57" s="166"/>
      <c r="G57" s="166"/>
    </row>
    <row r="58" spans="2:14" ht="12.75" customHeight="1" x14ac:dyDescent="0.25">
      <c r="I58" s="203"/>
      <c r="J58" s="203"/>
    </row>
    <row r="59" spans="2:14" ht="12.75" customHeight="1" x14ac:dyDescent="0.25"/>
    <row r="60" spans="2:14" ht="12.75" customHeight="1" x14ac:dyDescent="0.25"/>
    <row r="61" spans="2:14" ht="12.75" customHeight="1" x14ac:dyDescent="0.25"/>
    <row r="62" spans="2:14" ht="12.75" customHeight="1" x14ac:dyDescent="0.25"/>
    <row r="63" spans="2:14" ht="12.75" customHeight="1" x14ac:dyDescent="0.25"/>
    <row r="64" spans="2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spans="3:10" ht="12.75" customHeight="1" x14ac:dyDescent="0.25"/>
    <row r="82" spans="3:10" ht="12.75" customHeight="1" x14ac:dyDescent="0.25"/>
    <row r="83" spans="3:10" ht="12.75" customHeight="1" x14ac:dyDescent="0.25"/>
    <row r="84" spans="3:10" ht="12.75" customHeight="1" x14ac:dyDescent="0.25"/>
    <row r="85" spans="3:10" ht="12.75" customHeight="1" x14ac:dyDescent="0.25"/>
    <row r="86" spans="3:10" ht="12.75" customHeight="1" x14ac:dyDescent="0.25"/>
    <row r="87" spans="3:10" ht="12.75" customHeight="1" x14ac:dyDescent="0.25">
      <c r="H87" s="193"/>
    </row>
    <row r="88" spans="3:10" ht="12.75" customHeight="1" x14ac:dyDescent="0.25">
      <c r="H88" s="193"/>
    </row>
    <row r="89" spans="3:10" ht="12.75" customHeight="1" x14ac:dyDescent="0.25">
      <c r="H89" s="193"/>
    </row>
    <row r="90" spans="3:10" ht="12.75" customHeight="1" x14ac:dyDescent="0.25">
      <c r="H90" s="193"/>
    </row>
    <row r="91" spans="3:10" ht="12.75" customHeight="1" x14ac:dyDescent="0.25">
      <c r="H91" s="193"/>
    </row>
    <row r="92" spans="3:10" ht="12.75" customHeight="1" x14ac:dyDescent="0.25">
      <c r="H92" s="193"/>
    </row>
    <row r="93" spans="3:10" ht="12.75" customHeight="1" x14ac:dyDescent="0.25">
      <c r="H93" s="193"/>
    </row>
    <row r="94" spans="3:10" ht="12.75" customHeight="1" x14ac:dyDescent="0.25">
      <c r="H94" s="193"/>
    </row>
    <row r="95" spans="3:10" ht="12.75" customHeight="1" x14ac:dyDescent="0.25">
      <c r="C95" s="166"/>
      <c r="D95" s="166"/>
      <c r="E95" s="166"/>
      <c r="F95" s="166"/>
      <c r="G95" s="166"/>
    </row>
    <row r="96" spans="3:10" ht="12.75" customHeight="1" x14ac:dyDescent="0.25">
      <c r="I96" s="203"/>
      <c r="J96" s="203"/>
    </row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12" type="noConversion"/>
  <conditionalFormatting sqref="C24:E24">
    <cfRule type="cellIs" dxfId="863" priority="105" stopIfTrue="1" operator="greaterThan">
      <formula>0.03</formula>
    </cfRule>
    <cfRule type="cellIs" dxfId="862" priority="106" stopIfTrue="1" operator="lessThan">
      <formula>-0.03</formula>
    </cfRule>
  </conditionalFormatting>
  <conditionalFormatting sqref="J24:L24">
    <cfRule type="cellIs" dxfId="861" priority="57" stopIfTrue="1" operator="greaterThan">
      <formula>0.03</formula>
    </cfRule>
    <cfRule type="cellIs" dxfId="860" priority="58" stopIfTrue="1" operator="lessThan">
      <formula>-0.03</formula>
    </cfRule>
  </conditionalFormatting>
  <conditionalFormatting sqref="C26:E26">
    <cfRule type="cellIs" dxfId="859" priority="109" stopIfTrue="1" operator="greaterThan">
      <formula>0.03</formula>
    </cfRule>
    <cfRule type="cellIs" dxfId="858" priority="110" stopIfTrue="1" operator="lessThan">
      <formula>-0.03</formula>
    </cfRule>
  </conditionalFormatting>
  <conditionalFormatting sqref="J26:L26">
    <cfRule type="cellIs" dxfId="857" priority="61" stopIfTrue="1" operator="greaterThan">
      <formula>0.03</formula>
    </cfRule>
    <cfRule type="cellIs" dxfId="856" priority="62" stopIfTrue="1" operator="lessThan">
      <formula>-0.03</formula>
    </cfRule>
  </conditionalFormatting>
  <conditionalFormatting sqref="C27:E27">
    <cfRule type="cellIs" dxfId="855" priority="111" stopIfTrue="1" operator="greaterThan">
      <formula>0.03</formula>
    </cfRule>
    <cfRule type="cellIs" dxfId="854" priority="11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C28:E28">
    <cfRule type="cellIs" dxfId="851" priority="17" stopIfTrue="1" operator="greaterThan">
      <formula>0.03</formula>
    </cfRule>
    <cfRule type="cellIs" dxfId="850" priority="18" stopIfTrue="1" operator="lessThan">
      <formula>-0.03</formula>
    </cfRule>
  </conditionalFormatting>
  <conditionalFormatting sqref="J28:L28">
    <cfRule type="cellIs" dxfId="849" priority="15" stopIfTrue="1" operator="greaterThan">
      <formula>0.03</formula>
    </cfRule>
    <cfRule type="cellIs" dxfId="848" priority="16" stopIfTrue="1" operator="lessThan">
      <formula>-0.03</formula>
    </cfRule>
  </conditionalFormatting>
  <conditionalFormatting sqref="C52:E52">
    <cfRule type="cellIs" dxfId="847" priority="47" stopIfTrue="1" operator="greaterThan">
      <formula>0.03</formula>
    </cfRule>
    <cfRule type="cellIs" dxfId="846" priority="48" stopIfTrue="1" operator="lessThan">
      <formula>-0.03</formula>
    </cfRule>
  </conditionalFormatting>
  <conditionalFormatting sqref="J52:L52">
    <cfRule type="cellIs" dxfId="845" priority="25" stopIfTrue="1" operator="greaterThan">
      <formula>0.03</formula>
    </cfRule>
    <cfRule type="cellIs" dxfId="844" priority="26" stopIfTrue="1" operator="lessThan">
      <formula>-0.03</formula>
    </cfRule>
  </conditionalFormatting>
  <conditionalFormatting sqref="C54:E54">
    <cfRule type="cellIs" dxfId="843" priority="33" stopIfTrue="1" operator="greaterThan">
      <formula>0.03</formula>
    </cfRule>
    <cfRule type="cellIs" dxfId="842" priority="34" stopIfTrue="1" operator="lessThan">
      <formula>-0.03</formula>
    </cfRule>
  </conditionalFormatting>
  <conditionalFormatting sqref="J54:L54">
    <cfRule type="cellIs" dxfId="841" priority="23" stopIfTrue="1" operator="greaterThan">
      <formula>0.03</formula>
    </cfRule>
    <cfRule type="cellIs" dxfId="840" priority="24" stopIfTrue="1" operator="lessThan">
      <formula>-0.03</formula>
    </cfRule>
  </conditionalFormatting>
  <conditionalFormatting sqref="C55:E55">
    <cfRule type="cellIs" dxfId="839" priority="53" stopIfTrue="1" operator="greaterThan">
      <formula>0.03</formula>
    </cfRule>
    <cfRule type="cellIs" dxfId="838" priority="54" stopIfTrue="1" operator="lessThan">
      <formula>-0.03</formula>
    </cfRule>
  </conditionalFormatting>
  <conditionalFormatting sqref="J55:L55">
    <cfRule type="cellIs" dxfId="837" priority="29" stopIfTrue="1" operator="greaterThan">
      <formula>0.03</formula>
    </cfRule>
    <cfRule type="cellIs" dxfId="836" priority="30" stopIfTrue="1" operator="lessThan">
      <formula>-0.03</formula>
    </cfRule>
  </conditionalFormatting>
  <conditionalFormatting sqref="C56:E56">
    <cfRule type="cellIs" dxfId="835" priority="9" stopIfTrue="1" operator="greaterThan">
      <formula>0.03</formula>
    </cfRule>
    <cfRule type="cellIs" dxfId="834" priority="10" stopIfTrue="1" operator="lessThan">
      <formula>-0.03</formula>
    </cfRule>
  </conditionalFormatting>
  <conditionalFormatting sqref="J56:L56">
    <cfRule type="cellIs" dxfId="833" priority="7" stopIfTrue="1" operator="greaterThan">
      <formula>0.03</formula>
    </cfRule>
    <cfRule type="cellIs" dxfId="832" priority="8" stopIfTrue="1" operator="lessThan">
      <formula>-0.03</formula>
    </cfRule>
  </conditionalFormatting>
  <conditionalFormatting sqref="C5:E18">
    <cfRule type="cellIs" dxfId="831" priority="101" stopIfTrue="1" operator="greaterThan">
      <formula>0.03</formula>
    </cfRule>
    <cfRule type="cellIs" dxfId="830" priority="102" stopIfTrue="1" operator="lessThan">
      <formula>-0.03</formula>
    </cfRule>
  </conditionalFormatting>
  <conditionalFormatting sqref="J5:L18">
    <cfRule type="cellIs" dxfId="829" priority="55" stopIfTrue="1" operator="greaterThan">
      <formula>0.03</formula>
    </cfRule>
    <cfRule type="cellIs" dxfId="828" priority="56" stopIfTrue="1" operator="lessThan">
      <formula>-0.03</formula>
    </cfRule>
  </conditionalFormatting>
  <conditionalFormatting sqref="C19:E22">
    <cfRule type="cellIs" dxfId="827" priority="21" stopIfTrue="1" operator="greaterThan">
      <formula>0.03</formula>
    </cfRule>
    <cfRule type="cellIs" dxfId="826" priority="22" stopIfTrue="1" operator="lessThan">
      <formula>-0.03</formula>
    </cfRule>
  </conditionalFormatting>
  <conditionalFormatting sqref="J19:L22">
    <cfRule type="cellIs" dxfId="825" priority="5" stopIfTrue="1" operator="greaterThan">
      <formula>0.03</formula>
    </cfRule>
    <cfRule type="cellIs" dxfId="824" priority="6" stopIfTrue="1" operator="lessThan">
      <formula>-0.03</formula>
    </cfRule>
  </conditionalFormatting>
  <conditionalFormatting sqref="C23:E23 C25:E25">
    <cfRule type="cellIs" dxfId="823" priority="107" stopIfTrue="1" operator="greaterThan">
      <formula>0.03</formula>
    </cfRule>
    <cfRule type="cellIs" dxfId="822" priority="108" stopIfTrue="1" operator="lessThan">
      <formula>-0.03</formula>
    </cfRule>
  </conditionalFormatting>
  <conditionalFormatting sqref="J23:L23 J25:L25">
    <cfRule type="cellIs" dxfId="821" priority="59" stopIfTrue="1" operator="greaterThan">
      <formula>0.03</formula>
    </cfRule>
    <cfRule type="cellIs" dxfId="820" priority="60" stopIfTrue="1" operator="lessThan">
      <formula>-0.03</formula>
    </cfRule>
  </conditionalFormatting>
  <conditionalFormatting sqref="C33:E46">
    <cfRule type="cellIs" dxfId="819" priority="45" stopIfTrue="1" operator="greaterThan">
      <formula>0.03</formula>
    </cfRule>
    <cfRule type="cellIs" dxfId="818" priority="46" stopIfTrue="1" operator="lessThan">
      <formula>-0.03</formula>
    </cfRule>
  </conditionalFormatting>
  <conditionalFormatting sqref="J33:L46">
    <cfRule type="cellIs" dxfId="817" priority="35" stopIfTrue="1" operator="greaterThan">
      <formula>0.03</formula>
    </cfRule>
    <cfRule type="cellIs" dxfId="816" priority="36" stopIfTrue="1" operator="lessThan">
      <formula>-0.03</formula>
    </cfRule>
  </conditionalFormatting>
  <conditionalFormatting sqref="C47:E50">
    <cfRule type="cellIs" dxfId="815" priority="3" stopIfTrue="1" operator="greaterThan">
      <formula>0.03</formula>
    </cfRule>
    <cfRule type="cellIs" dxfId="814" priority="4" stopIfTrue="1" operator="lessThan">
      <formula>-0.03</formula>
    </cfRule>
  </conditionalFormatting>
  <conditionalFormatting sqref="J47:L50">
    <cfRule type="cellIs" dxfId="813" priority="1" stopIfTrue="1" operator="greaterThan">
      <formula>0.03</formula>
    </cfRule>
    <cfRule type="cellIs" dxfId="812" priority="2" stopIfTrue="1" operator="lessThan">
      <formula>-0.03</formula>
    </cfRule>
  </conditionalFormatting>
  <conditionalFormatting sqref="C51:E51 C53:E53">
    <cfRule type="cellIs" dxfId="811" priority="49" stopIfTrue="1" operator="greaterThan">
      <formula>0.03</formula>
    </cfRule>
    <cfRule type="cellIs" dxfId="810" priority="50" stopIfTrue="1" operator="lessThan">
      <formula>-0.03</formula>
    </cfRule>
  </conditionalFormatting>
  <conditionalFormatting sqref="J51:L51 J53:L53">
    <cfRule type="cellIs" dxfId="809" priority="27" stopIfTrue="1" operator="greaterThan">
      <formula>0.03</formula>
    </cfRule>
    <cfRule type="cellIs" dxfId="808" priority="28" stopIfTrue="1" operator="lessThan">
      <formula>-0.03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2:J40"/>
  <sheetViews>
    <sheetView workbookViewId="0">
      <selection activeCell="J3" sqref="J3"/>
    </sheetView>
  </sheetViews>
  <sheetFormatPr defaultColWidth="10.83203125" defaultRowHeight="11.5" x14ac:dyDescent="0.25"/>
  <cols>
    <col min="1" max="1" width="4.08203125" style="3" customWidth="1"/>
    <col min="2" max="2" width="13.58203125" style="129" customWidth="1"/>
    <col min="3" max="7" width="8.83203125" style="129" customWidth="1"/>
    <col min="8" max="8" width="10.83203125" style="3"/>
    <col min="9" max="9" width="20.58203125" style="3" customWidth="1"/>
    <col min="10" max="10" width="13" style="3" customWidth="1"/>
    <col min="11" max="16384" width="10.83203125" style="3"/>
  </cols>
  <sheetData>
    <row r="2" spans="2:10" ht="12.75" customHeight="1" x14ac:dyDescent="0.25">
      <c r="C2" s="130"/>
      <c r="D2" s="131"/>
      <c r="E2" s="130" t="s">
        <v>15</v>
      </c>
      <c r="F2" s="131"/>
      <c r="G2" s="132"/>
      <c r="I2" s="162"/>
      <c r="J2" s="162"/>
    </row>
    <row r="3" spans="2:10" ht="12.75" customHeight="1" x14ac:dyDescent="0.25">
      <c r="C3" s="133" t="str">
        <f>CONCATENATE("Over ",$J$3)</f>
        <v>Over HPM8.0</v>
      </c>
      <c r="D3" s="134"/>
      <c r="E3" s="134"/>
      <c r="F3" s="134"/>
      <c r="G3" s="135"/>
      <c r="I3" s="162" t="s">
        <v>16</v>
      </c>
      <c r="J3" s="162" t="s">
        <v>17</v>
      </c>
    </row>
    <row r="4" spans="2:10" ht="12.75" customHeight="1" x14ac:dyDescent="0.25">
      <c r="C4" s="136" t="s">
        <v>2</v>
      </c>
      <c r="D4" s="137" t="s">
        <v>3</v>
      </c>
      <c r="E4" s="138" t="s">
        <v>4</v>
      </c>
      <c r="F4" s="139" t="s">
        <v>5</v>
      </c>
      <c r="G4" s="140" t="s">
        <v>6</v>
      </c>
      <c r="I4" s="162" t="s">
        <v>18</v>
      </c>
      <c r="J4" s="162" t="s">
        <v>17</v>
      </c>
    </row>
    <row r="5" spans="2:10" ht="12.75" customHeight="1" x14ac:dyDescent="0.25">
      <c r="B5" s="141" t="s">
        <v>19</v>
      </c>
      <c r="C5" s="142">
        <f>'AI-10'!V75</f>
        <v>1.9579873211325594E-3</v>
      </c>
      <c r="D5" s="143">
        <f>'AI-10'!W75</f>
        <v>2.3613136676264301E-3</v>
      </c>
      <c r="E5" s="144">
        <f>'AI-10'!X75</f>
        <v>1.8777261767045639E-3</v>
      </c>
      <c r="F5" s="145">
        <f>'AI-10'!S75</f>
        <v>0.87105367366943032</v>
      </c>
      <c r="G5" s="146">
        <f>'AI-10'!T75</f>
        <v>0.98500517356397288</v>
      </c>
      <c r="H5" s="38"/>
      <c r="J5" s="162"/>
    </row>
    <row r="6" spans="2:10" ht="12.75" customHeight="1" x14ac:dyDescent="0.25">
      <c r="B6" s="147" t="s">
        <v>20</v>
      </c>
      <c r="C6" s="148">
        <f>'AI-10'!V76</f>
        <v>1.4510502015205318E-3</v>
      </c>
      <c r="D6" s="149">
        <f>'AI-10'!W76</f>
        <v>-3.232633344291691E-4</v>
      </c>
      <c r="E6" s="150">
        <f>'AI-10'!X76</f>
        <v>-3.1923434614000712E-5</v>
      </c>
      <c r="F6" s="151">
        <f>'AI-10'!S76</f>
        <v>0.8637105531253243</v>
      </c>
      <c r="G6" s="152">
        <f>'AI-10'!T76</f>
        <v>1.0131255097253455</v>
      </c>
      <c r="H6" s="38"/>
      <c r="J6" s="162"/>
    </row>
    <row r="7" spans="2:10" ht="12.75" customHeight="1" x14ac:dyDescent="0.25">
      <c r="B7" s="153" t="s">
        <v>21</v>
      </c>
      <c r="C7" s="148">
        <f>'AI-10'!V77</f>
        <v>1.8572456740225951E-3</v>
      </c>
      <c r="D7" s="149">
        <f>'AI-10'!W77</f>
        <v>-3.8809024796415681E-5</v>
      </c>
      <c r="E7" s="150">
        <f>'AI-10'!X77</f>
        <v>1.5156756459850929E-3</v>
      </c>
      <c r="F7" s="151">
        <f>'AI-10'!S77</f>
        <v>0.83161012674230961</v>
      </c>
      <c r="G7" s="152" t="e">
        <f>'AI-10'!T77</f>
        <v>#DIV/0!</v>
      </c>
      <c r="H7" s="38"/>
    </row>
    <row r="8" spans="2:10" s="125" customFormat="1" ht="12.75" customHeight="1" x14ac:dyDescent="0.25">
      <c r="B8" s="154" t="s">
        <v>10</v>
      </c>
      <c r="C8" s="142">
        <f>'AI-10'!V80</f>
        <v>1.7554277322252287E-3</v>
      </c>
      <c r="D8" s="143">
        <f>'AI-10'!W80</f>
        <v>6.6641376946694841E-4</v>
      </c>
      <c r="E8" s="143">
        <f>'AI-10'!X80</f>
        <v>1.1204927960252187E-3</v>
      </c>
      <c r="F8" s="155">
        <f>'AI-10'!S80</f>
        <v>0.85528522689691633</v>
      </c>
      <c r="G8" s="156" t="e">
        <f>'AI-10'!T80</f>
        <v>#DIV/0!</v>
      </c>
      <c r="H8" s="38"/>
      <c r="I8" s="163" t="s">
        <v>22</v>
      </c>
    </row>
    <row r="9" spans="2:10" ht="12.75" customHeight="1" x14ac:dyDescent="0.25">
      <c r="B9" s="157" t="s">
        <v>23</v>
      </c>
      <c r="C9" s="158" t="e">
        <f>'AI-10'!V78</f>
        <v>#VALUE!</v>
      </c>
      <c r="D9" s="159" t="e">
        <f>'AI-10'!W78</f>
        <v>#VALUE!</v>
      </c>
      <c r="E9" s="160" t="e">
        <f>'AI-10'!X78</f>
        <v>#VALUE!</v>
      </c>
      <c r="F9" s="155" t="e">
        <f>'AI-10'!S78</f>
        <v>#DIV/0!</v>
      </c>
      <c r="G9" s="156" t="e">
        <f>'AI-10'!T78</f>
        <v>#DIV/0!</v>
      </c>
      <c r="H9" s="38"/>
    </row>
    <row r="10" spans="2:10" ht="12.75" customHeight="1" x14ac:dyDescent="0.25">
      <c r="B10" s="161" t="s">
        <v>24</v>
      </c>
      <c r="C10" s="158" t="e">
        <f>'AI-10'!V79</f>
        <v>#VALUE!</v>
      </c>
      <c r="D10" s="159" t="e">
        <f>'AI-10'!W79</f>
        <v>#VALUE!</v>
      </c>
      <c r="E10" s="160" t="e">
        <f>'AI-10'!X79</f>
        <v>#VALUE!</v>
      </c>
      <c r="F10" s="155" t="e">
        <f>'AI-10'!S79</f>
        <v>#DIV/0!</v>
      </c>
      <c r="G10" s="156" t="e">
        <f>'AI-10'!T79</f>
        <v>#DIV/0!</v>
      </c>
      <c r="H10" s="38"/>
    </row>
    <row r="11" spans="2:10" ht="12.75" customHeight="1" x14ac:dyDescent="0.25">
      <c r="I11" s="164"/>
    </row>
    <row r="12" spans="2:10" ht="12.75" customHeight="1" x14ac:dyDescent="0.25">
      <c r="C12" s="130"/>
      <c r="D12" s="131"/>
      <c r="E12" s="130" t="s">
        <v>25</v>
      </c>
      <c r="F12" s="131"/>
      <c r="G12" s="132"/>
    </row>
    <row r="13" spans="2:10" ht="12.75" customHeight="1" x14ac:dyDescent="0.25">
      <c r="C13" s="133" t="str">
        <f>CONCATENATE("Over ",$J$3)</f>
        <v>Over HPM8.0</v>
      </c>
      <c r="D13" s="134"/>
      <c r="E13" s="134"/>
      <c r="F13" s="134"/>
      <c r="G13" s="135"/>
      <c r="I13" s="162"/>
    </row>
    <row r="14" spans="2:10" ht="12.75" customHeight="1" x14ac:dyDescent="0.25">
      <c r="C14" s="136" t="s">
        <v>2</v>
      </c>
      <c r="D14" s="137" t="s">
        <v>3</v>
      </c>
      <c r="E14" s="138" t="s">
        <v>4</v>
      </c>
      <c r="F14" s="139" t="s">
        <v>5</v>
      </c>
      <c r="G14" s="140" t="s">
        <v>6</v>
      </c>
      <c r="I14" s="162"/>
    </row>
    <row r="15" spans="2:10" ht="12.75" customHeight="1" x14ac:dyDescent="0.25">
      <c r="B15" s="141" t="s">
        <v>19</v>
      </c>
      <c r="C15" s="142" t="e">
        <f>'RA-10'!V75</f>
        <v>#VALUE!</v>
      </c>
      <c r="D15" s="143" t="e">
        <f>'RA-10'!W75</f>
        <v>#VALUE!</v>
      </c>
      <c r="E15" s="144" t="e">
        <f>'RA-10'!X75</f>
        <v>#VALUE!</v>
      </c>
      <c r="F15" s="145" t="e">
        <f>'RA-10'!S75</f>
        <v>#DIV/0!</v>
      </c>
      <c r="G15" s="146" t="e">
        <f>'RA-10'!T75</f>
        <v>#DIV/0!</v>
      </c>
      <c r="H15" s="38"/>
      <c r="I15" s="162"/>
    </row>
    <row r="16" spans="2:10" ht="12.75" customHeight="1" x14ac:dyDescent="0.25">
      <c r="B16" s="147" t="s">
        <v>20</v>
      </c>
      <c r="C16" s="148" t="e">
        <f>'RA-10'!V76</f>
        <v>#VALUE!</v>
      </c>
      <c r="D16" s="149" t="e">
        <f>'RA-10'!W76</f>
        <v>#VALUE!</v>
      </c>
      <c r="E16" s="150" t="e">
        <f>'RA-10'!X76</f>
        <v>#VALUE!</v>
      </c>
      <c r="F16" s="151" t="e">
        <f>'RA-10'!S76</f>
        <v>#DIV/0!</v>
      </c>
      <c r="G16" s="152" t="e">
        <f>'RA-10'!T76</f>
        <v>#DIV/0!</v>
      </c>
      <c r="H16" s="38"/>
      <c r="I16" s="162"/>
    </row>
    <row r="17" spans="2:9" ht="12.75" customHeight="1" x14ac:dyDescent="0.25">
      <c r="B17" s="153" t="s">
        <v>21</v>
      </c>
      <c r="C17" s="148" t="e">
        <f>'RA-10'!V77</f>
        <v>#VALUE!</v>
      </c>
      <c r="D17" s="149" t="e">
        <f>'RA-10'!W77</f>
        <v>#VALUE!</v>
      </c>
      <c r="E17" s="150" t="e">
        <f>'RA-10'!X77</f>
        <v>#VALUE!</v>
      </c>
      <c r="F17" s="151" t="e">
        <f>'RA-10'!S77</f>
        <v>#DIV/0!</v>
      </c>
      <c r="G17" s="152" t="e">
        <f>'RA-10'!T77</f>
        <v>#DIV/0!</v>
      </c>
      <c r="H17" s="38"/>
    </row>
    <row r="18" spans="2:9" ht="12.75" customHeight="1" x14ac:dyDescent="0.25">
      <c r="B18" s="154" t="s">
        <v>10</v>
      </c>
      <c r="C18" s="142" t="e">
        <f>'RA-10'!V80</f>
        <v>#VALUE!</v>
      </c>
      <c r="D18" s="143" t="e">
        <f>'RA-10'!W80</f>
        <v>#VALUE!</v>
      </c>
      <c r="E18" s="143" t="e">
        <f>'RA-10'!X80</f>
        <v>#VALUE!</v>
      </c>
      <c r="F18" s="155" t="e">
        <f>'RA-10'!S80</f>
        <v>#DIV/0!</v>
      </c>
      <c r="G18" s="156" t="e">
        <f>'RA-10'!T80</f>
        <v>#DIV/0!</v>
      </c>
      <c r="H18" s="38"/>
      <c r="I18" s="162"/>
    </row>
    <row r="19" spans="2:9" ht="12.75" customHeight="1" x14ac:dyDescent="0.25">
      <c r="B19" s="157" t="s">
        <v>23</v>
      </c>
      <c r="C19" s="158" t="e">
        <f>'RA-10'!V78</f>
        <v>#VALUE!</v>
      </c>
      <c r="D19" s="159" t="e">
        <f>'RA-10'!W78</f>
        <v>#VALUE!</v>
      </c>
      <c r="E19" s="160" t="e">
        <f>'RA-10'!X78</f>
        <v>#VALUE!</v>
      </c>
      <c r="F19" s="155" t="e">
        <f>'RA-10'!S78</f>
        <v>#DIV/0!</v>
      </c>
      <c r="G19" s="156" t="e">
        <f>'RA-10'!T78</f>
        <v>#DIV/0!</v>
      </c>
      <c r="H19" s="38"/>
      <c r="I19" s="164"/>
    </row>
    <row r="20" spans="2:9" ht="12.75" customHeight="1" x14ac:dyDescent="0.25">
      <c r="B20" s="161" t="s">
        <v>24</v>
      </c>
      <c r="C20" s="158" t="e">
        <f>'RA-10'!V79</f>
        <v>#VALUE!</v>
      </c>
      <c r="D20" s="159" t="e">
        <f>'RA-10'!W79</f>
        <v>#VALUE!</v>
      </c>
      <c r="E20" s="160" t="e">
        <f>'RA-10'!X79</f>
        <v>#VALUE!</v>
      </c>
      <c r="F20" s="155" t="e">
        <f>'RA-10'!S79</f>
        <v>#DIV/0!</v>
      </c>
      <c r="G20" s="156" t="e">
        <f>'RA-10'!T79</f>
        <v>#DIV/0!</v>
      </c>
      <c r="H20" s="38"/>
      <c r="I20" s="164"/>
    </row>
    <row r="21" spans="2:9" ht="12.75" customHeight="1" x14ac:dyDescent="0.25">
      <c r="C21" s="3"/>
      <c r="D21" s="3"/>
      <c r="E21" s="3"/>
      <c r="F21" s="3"/>
      <c r="G21" s="3"/>
    </row>
    <row r="22" spans="2:9" ht="12.75" customHeight="1" x14ac:dyDescent="0.25">
      <c r="C22" s="130"/>
      <c r="D22" s="131"/>
      <c r="E22" s="130" t="s">
        <v>26</v>
      </c>
      <c r="F22" s="131"/>
      <c r="G22" s="132"/>
      <c r="I22" s="162"/>
    </row>
    <row r="23" spans="2:9" ht="12.75" customHeight="1" x14ac:dyDescent="0.25">
      <c r="C23" s="133" t="str">
        <f>CONCATENATE("Over ",$J$3)</f>
        <v>Over HPM8.0</v>
      </c>
      <c r="D23" s="134"/>
      <c r="E23" s="134"/>
      <c r="F23" s="134"/>
      <c r="G23" s="135"/>
    </row>
    <row r="24" spans="2:9" ht="12.75" customHeight="1" x14ac:dyDescent="0.25">
      <c r="C24" s="136" t="s">
        <v>2</v>
      </c>
      <c r="D24" s="137" t="s">
        <v>3</v>
      </c>
      <c r="E24" s="138" t="s">
        <v>4</v>
      </c>
      <c r="F24" s="139" t="s">
        <v>5</v>
      </c>
      <c r="G24" s="140" t="s">
        <v>6</v>
      </c>
      <c r="I24" s="162"/>
    </row>
    <row r="25" spans="2:9" ht="12.75" customHeight="1" x14ac:dyDescent="0.25">
      <c r="B25" s="141" t="s">
        <v>19</v>
      </c>
      <c r="C25" s="142" t="e">
        <f>'LDB-10'!V75</f>
        <v>#VALUE!</v>
      </c>
      <c r="D25" s="143" t="e">
        <f>'LDB-10'!W75</f>
        <v>#VALUE!</v>
      </c>
      <c r="E25" s="144" t="e">
        <f>'LDB-10'!X75</f>
        <v>#VALUE!</v>
      </c>
      <c r="F25" s="145" t="e">
        <f>'LDB-10'!S75</f>
        <v>#DIV/0!</v>
      </c>
      <c r="G25" s="146" t="e">
        <f>'LDB-10'!T75</f>
        <v>#DIV/0!</v>
      </c>
      <c r="H25" s="38"/>
      <c r="I25" s="162"/>
    </row>
    <row r="26" spans="2:9" ht="12.75" customHeight="1" x14ac:dyDescent="0.25">
      <c r="B26" s="147" t="s">
        <v>20</v>
      </c>
      <c r="C26" s="148" t="e">
        <f>'LDB-10'!V76</f>
        <v>#VALUE!</v>
      </c>
      <c r="D26" s="149" t="e">
        <f>'LDB-10'!W76</f>
        <v>#VALUE!</v>
      </c>
      <c r="E26" s="150" t="e">
        <f>'LDB-10'!X76</f>
        <v>#VALUE!</v>
      </c>
      <c r="F26" s="151" t="e">
        <f>'LDB-10'!S76</f>
        <v>#DIV/0!</v>
      </c>
      <c r="G26" s="152" t="e">
        <f>'LDB-10'!T76</f>
        <v>#DIV/0!</v>
      </c>
      <c r="H26" s="38"/>
    </row>
    <row r="27" spans="2:9" ht="12.75" customHeight="1" x14ac:dyDescent="0.25">
      <c r="B27" s="153" t="s">
        <v>21</v>
      </c>
      <c r="C27" s="148" t="e">
        <f>'LDB-10'!V77</f>
        <v>#VALUE!</v>
      </c>
      <c r="D27" s="149" t="e">
        <f>'LDB-10'!W77</f>
        <v>#VALUE!</v>
      </c>
      <c r="E27" s="150" t="e">
        <f>'LDB-10'!X77</f>
        <v>#VALUE!</v>
      </c>
      <c r="F27" s="151" t="e">
        <f>'LDB-10'!S77</f>
        <v>#DIV/0!</v>
      </c>
      <c r="G27" s="152" t="e">
        <f>'LDB-10'!T77</f>
        <v>#DIV/0!</v>
      </c>
      <c r="H27" s="38"/>
      <c r="I27" s="162"/>
    </row>
    <row r="28" spans="2:9" ht="12.75" customHeight="1" x14ac:dyDescent="0.25">
      <c r="B28" s="154" t="s">
        <v>10</v>
      </c>
      <c r="C28" s="142" t="e">
        <f>'LDB-10'!V80</f>
        <v>#VALUE!</v>
      </c>
      <c r="D28" s="143" t="e">
        <f>'LDB-10'!W80</f>
        <v>#VALUE!</v>
      </c>
      <c r="E28" s="143" t="e">
        <f>'LDB-10'!X80</f>
        <v>#VALUE!</v>
      </c>
      <c r="F28" s="155" t="e">
        <f>'LDB-10'!S80</f>
        <v>#DIV/0!</v>
      </c>
      <c r="G28" s="156" t="e">
        <f>'LDB-10'!T80</f>
        <v>#DIV/0!</v>
      </c>
      <c r="H28" s="38"/>
    </row>
    <row r="29" spans="2:9" ht="12.75" customHeight="1" x14ac:dyDescent="0.25">
      <c r="B29" s="157" t="s">
        <v>23</v>
      </c>
      <c r="C29" s="158" t="e">
        <f>'LDB-10'!V78</f>
        <v>#VALUE!</v>
      </c>
      <c r="D29" s="159" t="e">
        <f>'LDB-10'!W78</f>
        <v>#VALUE!</v>
      </c>
      <c r="E29" s="160" t="e">
        <f>'LDB-10'!X78</f>
        <v>#VALUE!</v>
      </c>
      <c r="F29" s="155" t="e">
        <f>'LDB-10'!S78</f>
        <v>#DIV/0!</v>
      </c>
      <c r="G29" s="156" t="e">
        <f>'LDB-10'!T78</f>
        <v>#DIV/0!</v>
      </c>
      <c r="H29" s="38"/>
    </row>
    <row r="30" spans="2:9" ht="12.75" customHeight="1" x14ac:dyDescent="0.25">
      <c r="B30" s="161" t="s">
        <v>24</v>
      </c>
      <c r="C30" s="158" t="e">
        <f>'LDB-10'!V79</f>
        <v>#VALUE!</v>
      </c>
      <c r="D30" s="159" t="e">
        <f>'LDB-10'!W79</f>
        <v>#VALUE!</v>
      </c>
      <c r="E30" s="160" t="e">
        <f>'LDB-10'!X79</f>
        <v>#VALUE!</v>
      </c>
      <c r="F30" s="155" t="e">
        <f>'LDB-10'!S79</f>
        <v>#DIV/0!</v>
      </c>
      <c r="G30" s="156" t="e">
        <f>'LDB-10'!T79</f>
        <v>#DIV/0!</v>
      </c>
      <c r="H30" s="38"/>
    </row>
    <row r="31" spans="2:9" ht="12.75" customHeight="1" x14ac:dyDescent="0.25">
      <c r="C31" s="3"/>
      <c r="D31" s="3"/>
      <c r="E31" s="3"/>
      <c r="F31" s="3"/>
      <c r="G31" s="3"/>
    </row>
    <row r="32" spans="2:9" ht="12.75" customHeight="1" x14ac:dyDescent="0.25">
      <c r="C32" s="130"/>
      <c r="D32" s="131"/>
      <c r="E32" s="130" t="s">
        <v>27</v>
      </c>
      <c r="F32" s="131"/>
      <c r="G32" s="132"/>
    </row>
    <row r="33" spans="2:9" ht="12.75" customHeight="1" x14ac:dyDescent="0.25">
      <c r="C33" s="133" t="str">
        <f>CONCATENATE("Over ",$J$3)</f>
        <v>Over HPM8.0</v>
      </c>
      <c r="D33" s="134"/>
      <c r="E33" s="134"/>
      <c r="F33" s="134"/>
      <c r="G33" s="135"/>
    </row>
    <row r="34" spans="2:9" ht="12.75" customHeight="1" x14ac:dyDescent="0.25">
      <c r="C34" s="136" t="s">
        <v>2</v>
      </c>
      <c r="D34" s="137" t="s">
        <v>3</v>
      </c>
      <c r="E34" s="138" t="s">
        <v>4</v>
      </c>
      <c r="F34" s="139" t="s">
        <v>5</v>
      </c>
      <c r="G34" s="140" t="s">
        <v>6</v>
      </c>
      <c r="I34" s="162"/>
    </row>
    <row r="35" spans="2:9" ht="12.75" customHeight="1" x14ac:dyDescent="0.25">
      <c r="B35" s="141" t="s">
        <v>19</v>
      </c>
      <c r="C35" s="142" t="e">
        <f>'LDP-10'!V75</f>
        <v>#VALUE!</v>
      </c>
      <c r="D35" s="143" t="e">
        <f>'LDP-10'!W75</f>
        <v>#VALUE!</v>
      </c>
      <c r="E35" s="144" t="e">
        <f>'LDP-10'!X75</f>
        <v>#VALUE!</v>
      </c>
      <c r="F35" s="145" t="e">
        <f>'LDP-10'!S75</f>
        <v>#DIV/0!</v>
      </c>
      <c r="G35" s="146" t="e">
        <f>'LDP-10'!T75</f>
        <v>#DIV/0!</v>
      </c>
    </row>
    <row r="36" spans="2:9" ht="12.75" customHeight="1" x14ac:dyDescent="0.25">
      <c r="B36" s="147" t="s">
        <v>20</v>
      </c>
      <c r="C36" s="148" t="e">
        <f>'LDP-10'!V76</f>
        <v>#VALUE!</v>
      </c>
      <c r="D36" s="149" t="e">
        <f>'LDP-10'!W76</f>
        <v>#VALUE!</v>
      </c>
      <c r="E36" s="150" t="e">
        <f>'LDP-10'!X76</f>
        <v>#VALUE!</v>
      </c>
      <c r="F36" s="151" t="e">
        <f>'LDP-10'!S76</f>
        <v>#DIV/0!</v>
      </c>
      <c r="G36" s="152" t="e">
        <f>'LDP-10'!T76</f>
        <v>#DIV/0!</v>
      </c>
    </row>
    <row r="37" spans="2:9" ht="12" customHeight="1" x14ac:dyDescent="0.25">
      <c r="B37" s="153" t="s">
        <v>21</v>
      </c>
      <c r="C37" s="148" t="e">
        <f>'LDP-10'!V77</f>
        <v>#VALUE!</v>
      </c>
      <c r="D37" s="149" t="e">
        <f>'LDP-10'!W77</f>
        <v>#VALUE!</v>
      </c>
      <c r="E37" s="150" t="e">
        <f>'LDP-10'!X77</f>
        <v>#VALUE!</v>
      </c>
      <c r="F37" s="151" t="e">
        <f>'LDP-10'!S77</f>
        <v>#DIV/0!</v>
      </c>
      <c r="G37" s="152" t="e">
        <f>'LDP-10'!T77</f>
        <v>#DIV/0!</v>
      </c>
    </row>
    <row r="38" spans="2:9" ht="12.75" customHeight="1" x14ac:dyDescent="0.25">
      <c r="B38" s="154" t="s">
        <v>10</v>
      </c>
      <c r="C38" s="142">
        <f>'LDP-10'!V80</f>
        <v>5.7869246972688804E-4</v>
      </c>
      <c r="D38" s="143">
        <f>'LDP-10'!W80</f>
        <v>-1.0291566258233409E-3</v>
      </c>
      <c r="E38" s="143">
        <f>'LDP-10'!X80</f>
        <v>1.5916215141261181E-3</v>
      </c>
      <c r="F38" s="155">
        <f>'LDP-10'!S80</f>
        <v>0.93063987971392237</v>
      </c>
      <c r="G38" s="156" t="e">
        <f>'LDP-10'!T80</f>
        <v>#DIV/0!</v>
      </c>
    </row>
    <row r="39" spans="2:9" ht="12.75" customHeight="1" x14ac:dyDescent="0.25">
      <c r="B39" s="157" t="s">
        <v>23</v>
      </c>
      <c r="C39" s="158">
        <f>'LDP-10'!V78</f>
        <v>3.4945867164788424E-3</v>
      </c>
      <c r="D39" s="159">
        <f>'LDP-10'!W78</f>
        <v>-6.508001494751503E-3</v>
      </c>
      <c r="E39" s="160">
        <f>'LDP-10'!X78</f>
        <v>4.0855780539215125E-3</v>
      </c>
      <c r="F39" s="155">
        <f>'LDP-10'!S78</f>
        <v>0.92579885141981411</v>
      </c>
      <c r="G39" s="156" t="e">
        <f>'LDP-10'!T78</f>
        <v>#DIV/0!</v>
      </c>
    </row>
    <row r="40" spans="2:9" ht="12.75" customHeight="1" x14ac:dyDescent="0.25">
      <c r="B40" s="161" t="s">
        <v>24</v>
      </c>
      <c r="C40" s="158">
        <f>'LDP-10'!V79</f>
        <v>5.7869246972688804E-4</v>
      </c>
      <c r="D40" s="159">
        <f>'LDP-10'!W79</f>
        <v>-1.0291566258233409E-3</v>
      </c>
      <c r="E40" s="160">
        <f>'LDP-10'!X79</f>
        <v>1.5916215141261181E-3</v>
      </c>
      <c r="F40" s="155">
        <f>'LDP-10'!S79</f>
        <v>0.93306987830675703</v>
      </c>
      <c r="G40" s="156" t="e">
        <f>'LDP-10'!T79</f>
        <v>#DIV/0!</v>
      </c>
    </row>
  </sheetData>
  <phoneticPr fontId="12" type="noConversion"/>
  <conditionalFormatting sqref="C6:E6">
    <cfRule type="cellIs" dxfId="807" priority="241" stopIfTrue="1" operator="greaterThan">
      <formula>0.03</formula>
    </cfRule>
    <cfRule type="cellIs" dxfId="806" priority="242" stopIfTrue="1" operator="lessThan">
      <formula>-0.03</formula>
    </cfRule>
  </conditionalFormatting>
  <conditionalFormatting sqref="C8:E8">
    <cfRule type="cellIs" dxfId="805" priority="427" stopIfTrue="1" operator="greaterThan">
      <formula>0.03</formula>
    </cfRule>
    <cfRule type="cellIs" dxfId="804" priority="428" stopIfTrue="1" operator="lessThan">
      <formula>-0.03</formula>
    </cfRule>
  </conditionalFormatting>
  <conditionalFormatting sqref="C9:E9">
    <cfRule type="cellIs" dxfId="803" priority="161" stopIfTrue="1" operator="greaterThan">
      <formula>0.03</formula>
    </cfRule>
    <cfRule type="cellIs" dxfId="802" priority="162" stopIfTrue="1" operator="lessThan">
      <formula>-0.03</formula>
    </cfRule>
  </conditionalFormatting>
  <conditionalFormatting sqref="C10:E10">
    <cfRule type="cellIs" dxfId="801" priority="127" stopIfTrue="1" operator="greaterThan">
      <formula>0.03</formula>
    </cfRule>
    <cfRule type="cellIs" dxfId="800" priority="128" stopIfTrue="1" operator="lessThan">
      <formula>-0.03</formula>
    </cfRule>
  </conditionalFormatting>
  <conditionalFormatting sqref="C16:E16">
    <cfRule type="cellIs" dxfId="799" priority="155" stopIfTrue="1" operator="greaterThan">
      <formula>0.03</formula>
    </cfRule>
    <cfRule type="cellIs" dxfId="798" priority="156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K18:M18">
    <cfRule type="cellIs" dxfId="795" priority="55" stopIfTrue="1" operator="greaterThan">
      <formula>0.03</formula>
    </cfRule>
    <cfRule type="cellIs" dxfId="794" priority="56" stopIfTrue="1" operator="lessThan">
      <formula>-0.03</formula>
    </cfRule>
  </conditionalFormatting>
  <conditionalFormatting sqref="R18:T18">
    <cfRule type="cellIs" dxfId="793" priority="25" stopIfTrue="1" operator="greaterThan">
      <formula>0.03</formula>
    </cfRule>
    <cfRule type="cellIs" dxfId="792" priority="26" stopIfTrue="1" operator="lessThan">
      <formula>-0.03</formula>
    </cfRule>
  </conditionalFormatting>
  <conditionalFormatting sqref="C19:E19">
    <cfRule type="cellIs" dxfId="791" priority="153" stopIfTrue="1" operator="greaterThan">
      <formula>0.03</formula>
    </cfRule>
    <cfRule type="cellIs" dxfId="790" priority="154" stopIfTrue="1" operator="lessThan">
      <formula>-0.03</formula>
    </cfRule>
  </conditionalFormatting>
  <conditionalFormatting sqref="C20:E20">
    <cfRule type="cellIs" dxfId="789" priority="125" stopIfTrue="1" operator="greaterThan">
      <formula>0.03</formula>
    </cfRule>
    <cfRule type="cellIs" dxfId="788" priority="126" stopIfTrue="1" operator="lessThan">
      <formula>-0.03</formula>
    </cfRule>
  </conditionalFormatting>
  <conditionalFormatting sqref="K20:M20">
    <cfRule type="cellIs" dxfId="787" priority="59" stopIfTrue="1" operator="greaterThan">
      <formula>0.03</formula>
    </cfRule>
    <cfRule type="cellIs" dxfId="786" priority="60" stopIfTrue="1" operator="lessThan">
      <formula>-0.03</formula>
    </cfRule>
  </conditionalFormatting>
  <conditionalFormatting sqref="R20:T20">
    <cfRule type="cellIs" dxfId="785" priority="29" stopIfTrue="1" operator="greaterThan">
      <formula>0.03</formula>
    </cfRule>
    <cfRule type="cellIs" dxfId="784" priority="30" stopIfTrue="1" operator="lessThan">
      <formula>-0.03</formula>
    </cfRule>
  </conditionalFormatting>
  <conditionalFormatting sqref="K21:M21">
    <cfRule type="cellIs" dxfId="783" priority="53" stopIfTrue="1" operator="greaterThan">
      <formula>0.03</formula>
    </cfRule>
    <cfRule type="cellIs" dxfId="782" priority="54" stopIfTrue="1" operator="lessThan">
      <formula>-0.03</formula>
    </cfRule>
  </conditionalFormatting>
  <conditionalFormatting sqref="R21:T21">
    <cfRule type="cellIs" dxfId="781" priority="23" stopIfTrue="1" operator="greaterThan">
      <formula>0.03</formula>
    </cfRule>
    <cfRule type="cellIs" dxfId="780" priority="24" stopIfTrue="1" operator="lessThan">
      <formula>-0.03</formula>
    </cfRule>
  </conditionalFormatting>
  <conditionalFormatting sqref="K22:M22">
    <cfRule type="cellIs" dxfId="779" priority="35" stopIfTrue="1" operator="greaterThan">
      <formula>0.03</formula>
    </cfRule>
    <cfRule type="cellIs" dxfId="778" priority="36" stopIfTrue="1" operator="lessThan">
      <formula>-0.03</formula>
    </cfRule>
  </conditionalFormatting>
  <conditionalFormatting sqref="R22:T22">
    <cfRule type="cellIs" dxfId="777" priority="5" stopIfTrue="1" operator="greaterThan">
      <formula>0.03</formula>
    </cfRule>
    <cfRule type="cellIs" dxfId="776" priority="6" stopIfTrue="1" operator="lessThan">
      <formula>-0.03</formula>
    </cfRule>
  </conditionalFormatting>
  <conditionalFormatting sqref="C26:E26">
    <cfRule type="cellIs" dxfId="775" priority="143" stopIfTrue="1" operator="greaterThan">
      <formula>0.03</formula>
    </cfRule>
    <cfRule type="cellIs" dxfId="774" priority="144" stopIfTrue="1" operator="lessThan">
      <formula>-0.03</formula>
    </cfRule>
  </conditionalFormatting>
  <conditionalFormatting sqref="C28:E28">
    <cfRule type="cellIs" dxfId="773" priority="147" stopIfTrue="1" operator="greaterThan">
      <formula>0.03</formula>
    </cfRule>
    <cfRule type="cellIs" dxfId="772" priority="148" stopIfTrue="1" operator="lessThan">
      <formula>-0.03</formula>
    </cfRule>
  </conditionalFormatting>
  <conditionalFormatting sqref="K28:M28">
    <cfRule type="cellIs" dxfId="771" priority="47" stopIfTrue="1" operator="greaterThan">
      <formula>0.03</formula>
    </cfRule>
    <cfRule type="cellIs" dxfId="770" priority="48" stopIfTrue="1" operator="lessThan">
      <formula>-0.03</formula>
    </cfRule>
  </conditionalFormatting>
  <conditionalFormatting sqref="R28:T28">
    <cfRule type="cellIs" dxfId="769" priority="17" stopIfTrue="1" operator="greaterThan">
      <formula>0.03</formula>
    </cfRule>
    <cfRule type="cellIs" dxfId="768" priority="18" stopIfTrue="1" operator="lessThan">
      <formula>-0.03</formula>
    </cfRule>
  </conditionalFormatting>
  <conditionalFormatting sqref="C29:E29">
    <cfRule type="cellIs" dxfId="767" priority="141" stopIfTrue="1" operator="greaterThan">
      <formula>0.03</formula>
    </cfRule>
    <cfRule type="cellIs" dxfId="766" priority="142" stopIfTrue="1" operator="lessThan">
      <formula>-0.03</formula>
    </cfRule>
  </conditionalFormatting>
  <conditionalFormatting sqref="C30:E30">
    <cfRule type="cellIs" dxfId="765" priority="123" stopIfTrue="1" operator="greaterThan">
      <formula>0.03</formula>
    </cfRule>
    <cfRule type="cellIs" dxfId="764" priority="124" stopIfTrue="1" operator="lessThan">
      <formula>-0.03</formula>
    </cfRule>
  </conditionalFormatting>
  <conditionalFormatting sqref="K30:M30">
    <cfRule type="cellIs" dxfId="763" priority="51" stopIfTrue="1" operator="greaterThan">
      <formula>0.03</formula>
    </cfRule>
    <cfRule type="cellIs" dxfId="762" priority="52" stopIfTrue="1" operator="lessThan">
      <formula>-0.03</formula>
    </cfRule>
  </conditionalFormatting>
  <conditionalFormatting sqref="R30:T30">
    <cfRule type="cellIs" dxfId="761" priority="21" stopIfTrue="1" operator="greaterThan">
      <formula>0.03</formula>
    </cfRule>
    <cfRule type="cellIs" dxfId="760" priority="22" stopIfTrue="1" operator="lessThan">
      <formula>-0.03</formula>
    </cfRule>
  </conditionalFormatting>
  <conditionalFormatting sqref="K31:M31">
    <cfRule type="cellIs" dxfId="759" priority="45" stopIfTrue="1" operator="greaterThan">
      <formula>0.03</formula>
    </cfRule>
    <cfRule type="cellIs" dxfId="758" priority="46" stopIfTrue="1" operator="lessThan">
      <formula>-0.03</formula>
    </cfRule>
  </conditionalFormatting>
  <conditionalFormatting sqref="R31:T31">
    <cfRule type="cellIs" dxfId="757" priority="15" stopIfTrue="1" operator="greaterThan">
      <formula>0.03</formula>
    </cfRule>
    <cfRule type="cellIs" dxfId="756" priority="16" stopIfTrue="1" operator="lessThan">
      <formula>-0.03</formula>
    </cfRule>
  </conditionalFormatting>
  <conditionalFormatting sqref="K32:M32">
    <cfRule type="cellIs" dxfId="755" priority="33" stopIfTrue="1" operator="greaterThan">
      <formula>0.03</formula>
    </cfRule>
    <cfRule type="cellIs" dxfId="754" priority="34" stopIfTrue="1" operator="lessThan">
      <formula>-0.03</formula>
    </cfRule>
  </conditionalFormatting>
  <conditionalFormatting sqref="R32:T32">
    <cfRule type="cellIs" dxfId="753" priority="3" stopIfTrue="1" operator="greaterThan">
      <formula>0.03</formula>
    </cfRule>
    <cfRule type="cellIs" dxfId="752" priority="4" stopIfTrue="1" operator="lessThan">
      <formula>-0.03</formula>
    </cfRule>
  </conditionalFormatting>
  <conditionalFormatting sqref="C36:E36">
    <cfRule type="cellIs" dxfId="751" priority="131" stopIfTrue="1" operator="greaterThan">
      <formula>0.03</formula>
    </cfRule>
    <cfRule type="cellIs" dxfId="750" priority="132" stopIfTrue="1" operator="lessThan">
      <formula>-0.03</formula>
    </cfRule>
  </conditionalFormatting>
  <conditionalFormatting sqref="C38:E38">
    <cfRule type="cellIs" dxfId="749" priority="135" stopIfTrue="1" operator="greaterThan">
      <formula>0.03</formula>
    </cfRule>
    <cfRule type="cellIs" dxfId="748" priority="136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R38:T38">
    <cfRule type="cellIs" dxfId="745" priority="9" stopIfTrue="1" operator="greaterThan">
      <formula>0.03</formula>
    </cfRule>
    <cfRule type="cellIs" dxfId="744" priority="10" stopIfTrue="1" operator="lessThan">
      <formula>-0.03</formula>
    </cfRule>
  </conditionalFormatting>
  <conditionalFormatting sqref="C39:E39">
    <cfRule type="cellIs" dxfId="743" priority="129" stopIfTrue="1" operator="greaterThan">
      <formula>0.03</formula>
    </cfRule>
    <cfRule type="cellIs" dxfId="742" priority="130" stopIfTrue="1" operator="lessThan">
      <formula>-0.03</formula>
    </cfRule>
  </conditionalFormatting>
  <conditionalFormatting sqref="C40:E40">
    <cfRule type="cellIs" dxfId="741" priority="121" stopIfTrue="1" operator="greaterThan">
      <formula>0.03</formula>
    </cfRule>
    <cfRule type="cellIs" dxfId="740" priority="122" stopIfTrue="1" operator="lessThan">
      <formula>-0.03</formula>
    </cfRule>
  </conditionalFormatting>
  <conditionalFormatting sqref="K40:M40">
    <cfRule type="cellIs" dxfId="739" priority="43" stopIfTrue="1" operator="greaterThan">
      <formula>0.03</formula>
    </cfRule>
    <cfRule type="cellIs" dxfId="738" priority="44" stopIfTrue="1" operator="lessThan">
      <formula>-0.03</formula>
    </cfRule>
  </conditionalFormatting>
  <conditionalFormatting sqref="R40:T40">
    <cfRule type="cellIs" dxfId="737" priority="13" stopIfTrue="1" operator="greaterThan">
      <formula>0.03</formula>
    </cfRule>
    <cfRule type="cellIs" dxfId="736" priority="14" stopIfTrue="1" operator="lessThan">
      <formula>-0.03</formula>
    </cfRule>
  </conditionalFormatting>
  <conditionalFormatting sqref="K41:M41">
    <cfRule type="cellIs" dxfId="735" priority="37" stopIfTrue="1" operator="greaterThan">
      <formula>0.03</formula>
    </cfRule>
    <cfRule type="cellIs" dxfId="734" priority="38" stopIfTrue="1" operator="lessThan">
      <formula>-0.03</formula>
    </cfRule>
  </conditionalFormatting>
  <conditionalFormatting sqref="R41:T41">
    <cfRule type="cellIs" dxfId="733" priority="7" stopIfTrue="1" operator="greaterThan">
      <formula>0.03</formula>
    </cfRule>
    <cfRule type="cellIs" dxfId="732" priority="8" stopIfTrue="1" operator="lessThan">
      <formula>-0.03</formula>
    </cfRule>
  </conditionalFormatting>
  <conditionalFormatting sqref="K42:M42">
    <cfRule type="cellIs" dxfId="731" priority="31" stopIfTrue="1" operator="greaterThan">
      <formula>0.03</formula>
    </cfRule>
    <cfRule type="cellIs" dxfId="730" priority="32" stopIfTrue="1" operator="lessThan">
      <formula>-0.03</formula>
    </cfRule>
  </conditionalFormatting>
  <conditionalFormatting sqref="R42:T42">
    <cfRule type="cellIs" dxfId="729" priority="1" stopIfTrue="1" operator="greaterThan">
      <formula>0.03</formula>
    </cfRule>
    <cfRule type="cellIs" dxfId="728" priority="2" stopIfTrue="1" operator="lessThan">
      <formula>-0.03</formula>
    </cfRule>
  </conditionalFormatting>
  <conditionalFormatting sqref="C5:E5 C7:E7">
    <cfRule type="cellIs" dxfId="727" priority="425" stopIfTrue="1" operator="greaterThan">
      <formula>0.03</formula>
    </cfRule>
    <cfRule type="cellIs" dxfId="726" priority="426" stopIfTrue="1" operator="lessThan">
      <formula>-0.03</formula>
    </cfRule>
  </conditionalFormatting>
  <conditionalFormatting sqref="C15:E15 C17:E17">
    <cfRule type="cellIs" dxfId="725" priority="157" stopIfTrue="1" operator="greaterThan">
      <formula>0.03</formula>
    </cfRule>
    <cfRule type="cellIs" dxfId="724" priority="158" stopIfTrue="1" operator="lessThan">
      <formula>-0.03</formula>
    </cfRule>
  </conditionalFormatting>
  <conditionalFormatting sqref="K17:M17 K19:M19">
    <cfRule type="cellIs" dxfId="723" priority="57" stopIfTrue="1" operator="greaterThan">
      <formula>0.03</formula>
    </cfRule>
    <cfRule type="cellIs" dxfId="722" priority="58" stopIfTrue="1" operator="lessThan">
      <formula>-0.03</formula>
    </cfRule>
  </conditionalFormatting>
  <conditionalFormatting sqref="R17:T17 R19:T19">
    <cfRule type="cellIs" dxfId="721" priority="27" stopIfTrue="1" operator="greaterThan">
      <formula>0.03</formula>
    </cfRule>
    <cfRule type="cellIs" dxfId="720" priority="28" stopIfTrue="1" operator="lessThan">
      <formula>-0.03</formula>
    </cfRule>
  </conditionalFormatting>
  <conditionalFormatting sqref="C25:E25 C27:E27">
    <cfRule type="cellIs" dxfId="719" priority="145" stopIfTrue="1" operator="greaterThan">
      <formula>0.03</formula>
    </cfRule>
    <cfRule type="cellIs" dxfId="718" priority="146" stopIfTrue="1" operator="lessThan">
      <formula>-0.03</formula>
    </cfRule>
  </conditionalFormatting>
  <conditionalFormatting sqref="K27:M27 K29:M29">
    <cfRule type="cellIs" dxfId="717" priority="49" stopIfTrue="1" operator="greaterThan">
      <formula>0.03</formula>
    </cfRule>
    <cfRule type="cellIs" dxfId="716" priority="50" stopIfTrue="1" operator="lessThan">
      <formula>-0.03</formula>
    </cfRule>
  </conditionalFormatting>
  <conditionalFormatting sqref="R27:T27 R29:T29">
    <cfRule type="cellIs" dxfId="715" priority="19" stopIfTrue="1" operator="greaterThan">
      <formula>0.03</formula>
    </cfRule>
    <cfRule type="cellIs" dxfId="714" priority="20" stopIfTrue="1" operator="lessThan">
      <formula>-0.03</formula>
    </cfRule>
  </conditionalFormatting>
  <conditionalFormatting sqref="C35:E35 C37:E37">
    <cfRule type="cellIs" dxfId="713" priority="133" stopIfTrue="1" operator="greaterThan">
      <formula>0.03</formula>
    </cfRule>
    <cfRule type="cellIs" dxfId="712" priority="134" stopIfTrue="1" operator="lessThan">
      <formula>-0.03</formula>
    </cfRule>
  </conditionalFormatting>
  <conditionalFormatting sqref="K37:M37 K39:M39">
    <cfRule type="cellIs" dxfId="711" priority="41" stopIfTrue="1" operator="greaterThan">
      <formula>0.03</formula>
    </cfRule>
    <cfRule type="cellIs" dxfId="710" priority="42" stopIfTrue="1" operator="lessThan">
      <formula>-0.03</formula>
    </cfRule>
  </conditionalFormatting>
  <conditionalFormatting sqref="R37:T37 R39:T39">
    <cfRule type="cellIs" dxfId="709" priority="11" stopIfTrue="1" operator="greaterThan">
      <formula>0.03</formula>
    </cfRule>
    <cfRule type="cellIs" dxfId="708" priority="12" stopIfTrue="1" operator="lessThan">
      <formula>-0.03</formula>
    </cfRule>
  </conditionalFormatting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3203125" defaultRowHeight="15" x14ac:dyDescent="0.25"/>
  <cols>
    <col min="2" max="2" width="21.33203125" customWidth="1"/>
    <col min="25" max="26" width="9" customWidth="1"/>
    <col min="27" max="27" width="16.33203125" style="121" customWidth="1"/>
    <col min="28" max="39" width="9" customWidth="1"/>
  </cols>
  <sheetData>
    <row r="1" spans="1:43" x14ac:dyDescent="0.25">
      <c r="A1" t="s">
        <v>28</v>
      </c>
      <c r="AD1" t="s">
        <v>29</v>
      </c>
      <c r="AI1" t="s">
        <v>30</v>
      </c>
      <c r="AN1" t="s">
        <v>31</v>
      </c>
    </row>
    <row r="2" spans="1:43" x14ac:dyDescent="0.25">
      <c r="A2" s="122" t="s">
        <v>32</v>
      </c>
      <c r="B2" s="122" t="s">
        <v>33</v>
      </c>
      <c r="AD2" s="123" t="s">
        <v>34</v>
      </c>
      <c r="AE2" s="124" t="s">
        <v>35</v>
      </c>
      <c r="AF2" s="124" t="s">
        <v>36</v>
      </c>
      <c r="AG2" s="124" t="s">
        <v>37</v>
      </c>
      <c r="AI2" s="123" t="s">
        <v>34</v>
      </c>
      <c r="AJ2" s="124" t="s">
        <v>35</v>
      </c>
      <c r="AK2" s="124" t="s">
        <v>36</v>
      </c>
      <c r="AL2" s="124" t="s">
        <v>37</v>
      </c>
      <c r="AN2" s="123" t="s">
        <v>34</v>
      </c>
      <c r="AO2" s="124" t="s">
        <v>35</v>
      </c>
      <c r="AP2" s="124" t="s">
        <v>36</v>
      </c>
      <c r="AQ2" s="124" t="s">
        <v>37</v>
      </c>
    </row>
    <row r="3" spans="1:43" x14ac:dyDescent="0.25">
      <c r="Z3" t="s">
        <v>38</v>
      </c>
      <c r="AA3" s="125" t="s">
        <v>39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x14ac:dyDescent="0.25">
      <c r="Z4" t="s">
        <v>32</v>
      </c>
      <c r="AA4" s="125" t="s">
        <v>40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25">
      <c r="Z5" t="s">
        <v>41</v>
      </c>
      <c r="AA5" s="125" t="s">
        <v>42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25">
      <c r="Z6" t="s">
        <v>43</v>
      </c>
      <c r="AA6" s="125" t="s">
        <v>44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25">
      <c r="AA7" s="125" t="s">
        <v>45</v>
      </c>
      <c r="AB7">
        <f t="shared" si="0"/>
        <v>19</v>
      </c>
    </row>
    <row r="8" spans="1:43" x14ac:dyDescent="0.25">
      <c r="AA8" s="125" t="s">
        <v>46</v>
      </c>
      <c r="AB8">
        <f t="shared" si="0"/>
        <v>23</v>
      </c>
      <c r="AD8" t="str">
        <f>"Sequence: "&amp;B2&amp;"     Coding Conditions: "&amp;A2</f>
        <v>Sequence: BlowingBubbles     Coding Conditions: RA-10</v>
      </c>
    </row>
    <row r="9" spans="1:43" x14ac:dyDescent="0.25">
      <c r="AA9" s="125" t="s">
        <v>47</v>
      </c>
      <c r="AB9">
        <f t="shared" si="0"/>
        <v>27</v>
      </c>
    </row>
    <row r="10" spans="1:43" x14ac:dyDescent="0.25">
      <c r="AA10" s="125" t="s">
        <v>48</v>
      </c>
      <c r="AB10">
        <f t="shared" si="0"/>
        <v>31</v>
      </c>
    </row>
    <row r="11" spans="1:43" x14ac:dyDescent="0.25">
      <c r="AA11" s="125" t="s">
        <v>49</v>
      </c>
      <c r="AB11">
        <f t="shared" si="0"/>
        <v>35</v>
      </c>
      <c r="AD11" t="s">
        <v>50</v>
      </c>
      <c r="AE11" t="s">
        <v>51</v>
      </c>
      <c r="AF11" t="s">
        <v>52</v>
      </c>
      <c r="AG11" t="s">
        <v>53</v>
      </c>
    </row>
    <row r="12" spans="1:43" ht="15.5" x14ac:dyDescent="0.3">
      <c r="AA12" s="125" t="s">
        <v>54</v>
      </c>
      <c r="AB12">
        <f t="shared" si="0"/>
        <v>39</v>
      </c>
      <c r="AD12" s="126">
        <f ca="1">MAX(AD3:AD6,AI3:AI6,AN3:AN6)</f>
        <v>0</v>
      </c>
      <c r="AE12" s="126">
        <f ca="1">MAX(AE3:AE6,AJ3:AJ6,AO3:AO6)</f>
        <v>0</v>
      </c>
      <c r="AF12" s="126">
        <f ca="1">MAX(AF3:AF6,AK3:AK6,AP3:AP6)</f>
        <v>0</v>
      </c>
      <c r="AG12" s="126">
        <f ca="1">MAX(AG3:AG6,AL3:AL6,AQ3:AQ6)</f>
        <v>0</v>
      </c>
    </row>
    <row r="13" spans="1:43" ht="15.5" x14ac:dyDescent="0.3">
      <c r="AA13" s="125" t="s">
        <v>55</v>
      </c>
      <c r="AB13">
        <f t="shared" si="0"/>
        <v>43</v>
      </c>
      <c r="AD13" s="126">
        <f ca="1">MIN(AD3:AD6,AI3:AI6,AN3:AN6)</f>
        <v>0</v>
      </c>
      <c r="AE13" s="126">
        <f ca="1">MIN(AE3:AE6,AJ3:AJ6,AO3:AO6)</f>
        <v>0</v>
      </c>
      <c r="AF13" s="126">
        <f ca="1">MIN(AF3:AF6,AK3:AK6,AP3:AP6)</f>
        <v>0</v>
      </c>
      <c r="AG13" s="126">
        <f ca="1">MIN(AG3:AG6,AL3:AL6,AQ3:AQ6)</f>
        <v>0</v>
      </c>
    </row>
    <row r="14" spans="1:43" ht="15.5" x14ac:dyDescent="0.3">
      <c r="AA14" s="125" t="s">
        <v>56</v>
      </c>
      <c r="AB14">
        <f t="shared" si="0"/>
        <v>47</v>
      </c>
      <c r="AD14" s="127"/>
      <c r="AE14" s="127"/>
      <c r="AF14" s="127"/>
      <c r="AG14" s="127"/>
    </row>
    <row r="15" spans="1:43" ht="15.5" x14ac:dyDescent="0.3">
      <c r="AA15" s="125" t="s">
        <v>57</v>
      </c>
      <c r="AB15">
        <f t="shared" si="0"/>
        <v>51</v>
      </c>
      <c r="AD15" s="127">
        <f ca="1">POWER(10,CEILING(LOG(AD12+1),1))</f>
        <v>1</v>
      </c>
      <c r="AE15" s="128">
        <f ca="1">CEILING(AE12+0.25,0.5)</f>
        <v>0.5</v>
      </c>
      <c r="AF15" s="128">
        <f ca="1">CEILING(AF12+0.25,0.5)</f>
        <v>0.5</v>
      </c>
      <c r="AG15" s="128">
        <f ca="1">CEILING(AG12+0.25,0.5)</f>
        <v>0.5</v>
      </c>
    </row>
    <row r="16" spans="1:43" ht="15.5" x14ac:dyDescent="0.3">
      <c r="AA16" s="125" t="s">
        <v>58</v>
      </c>
      <c r="AB16">
        <f t="shared" si="0"/>
        <v>55</v>
      </c>
      <c r="AD16" s="127">
        <f ca="1">POWER(10,FLOOR(LOG(AD13+10),1))</f>
        <v>10</v>
      </c>
      <c r="AE16" s="128">
        <f ca="1">FLOOR(AE13-0.25,0.5)</f>
        <v>-0.5</v>
      </c>
      <c r="AF16" s="128">
        <f ca="1">FLOOR(AF13-0.25,0.5)</f>
        <v>-0.5</v>
      </c>
      <c r="AG16" s="128">
        <f ca="1">FLOOR(AG13-0.25,0.5)</f>
        <v>-0.5</v>
      </c>
    </row>
    <row r="17" spans="27:28" x14ac:dyDescent="0.25">
      <c r="AA17" s="125" t="s">
        <v>59</v>
      </c>
      <c r="AB17">
        <f t="shared" si="0"/>
        <v>59</v>
      </c>
    </row>
    <row r="18" spans="27:28" x14ac:dyDescent="0.25">
      <c r="AA18" s="125" t="s">
        <v>60</v>
      </c>
      <c r="AB18">
        <f t="shared" si="0"/>
        <v>63</v>
      </c>
    </row>
    <row r="19" spans="27:28" x14ac:dyDescent="0.25">
      <c r="AA19" s="125" t="s">
        <v>33</v>
      </c>
      <c r="AB19">
        <f t="shared" si="0"/>
        <v>67</v>
      </c>
    </row>
    <row r="20" spans="27:28" x14ac:dyDescent="0.25">
      <c r="AA20" s="125" t="s">
        <v>61</v>
      </c>
      <c r="AB20">
        <f t="shared" si="0"/>
        <v>71</v>
      </c>
    </row>
    <row r="21" spans="27:28" x14ac:dyDescent="0.25">
      <c r="AA21"/>
    </row>
    <row r="22" spans="27:28" x14ac:dyDescent="0.25">
      <c r="AA22"/>
    </row>
    <row r="23" spans="27:28" x14ac:dyDescent="0.25">
      <c r="AA23"/>
    </row>
    <row r="24" spans="27:28" x14ac:dyDescent="0.25">
      <c r="AA24"/>
    </row>
    <row r="25" spans="27:28" x14ac:dyDescent="0.25">
      <c r="AA25"/>
    </row>
    <row r="26" spans="27:28" x14ac:dyDescent="0.25">
      <c r="AA26"/>
    </row>
    <row r="27" spans="27:28" x14ac:dyDescent="0.25">
      <c r="AA27"/>
    </row>
    <row r="28" spans="27:28" x14ac:dyDescent="0.25">
      <c r="AA28"/>
    </row>
    <row r="29" spans="27:28" x14ac:dyDescent="0.25">
      <c r="AA29"/>
    </row>
    <row r="30" spans="27:28" x14ac:dyDescent="0.25">
      <c r="AA30"/>
    </row>
    <row r="31" spans="27:28" x14ac:dyDescent="0.25">
      <c r="AA31"/>
    </row>
    <row r="32" spans="27:28" x14ac:dyDescent="0.25">
      <c r="AA32"/>
    </row>
    <row r="33" spans="27:27" x14ac:dyDescent="0.25">
      <c r="AA33" s="125"/>
    </row>
    <row r="34" spans="27:27" x14ac:dyDescent="0.25">
      <c r="AA34" s="125"/>
    </row>
    <row r="35" spans="27:27" x14ac:dyDescent="0.25">
      <c r="AA35" s="125"/>
    </row>
    <row r="36" spans="27:27" x14ac:dyDescent="0.25">
      <c r="AA36" s="125"/>
    </row>
    <row r="37" spans="27:27" x14ac:dyDescent="0.25">
      <c r="AA37" s="125"/>
    </row>
    <row r="38" spans="27:27" x14ac:dyDescent="0.25">
      <c r="AA38" s="125"/>
    </row>
    <row r="39" spans="27:27" x14ac:dyDescent="0.25">
      <c r="AA39" s="125"/>
    </row>
    <row r="40" spans="27:27" x14ac:dyDescent="0.25">
      <c r="AA40" s="125"/>
    </row>
    <row r="41" spans="27:27" x14ac:dyDescent="0.25">
      <c r="AA41" s="125"/>
    </row>
    <row r="42" spans="27:27" x14ac:dyDescent="0.25">
      <c r="AA42" s="125"/>
    </row>
    <row r="43" spans="27:27" x14ac:dyDescent="0.25">
      <c r="AA43" s="125"/>
    </row>
    <row r="44" spans="27:27" x14ac:dyDescent="0.25">
      <c r="AA44" s="125"/>
    </row>
    <row r="45" spans="27:27" x14ac:dyDescent="0.25">
      <c r="AA45" s="125"/>
    </row>
    <row r="46" spans="27:27" x14ac:dyDescent="0.25">
      <c r="AA46" s="125"/>
    </row>
    <row r="47" spans="27:27" x14ac:dyDescent="0.25">
      <c r="AA47" s="125"/>
    </row>
    <row r="48" spans="27:27" x14ac:dyDescent="0.25">
      <c r="AA48" s="125"/>
    </row>
    <row r="49" spans="27:27" x14ac:dyDescent="0.25">
      <c r="AA49" s="125"/>
    </row>
    <row r="50" spans="27:27" x14ac:dyDescent="0.25">
      <c r="AA50" s="125"/>
    </row>
    <row r="51" spans="27:27" x14ac:dyDescent="0.25">
      <c r="AA51" s="125"/>
    </row>
    <row r="52" spans="27:27" x14ac:dyDescent="0.25">
      <c r="AA52" s="125"/>
    </row>
    <row r="53" spans="27:27" x14ac:dyDescent="0.25">
      <c r="AA53" s="125"/>
    </row>
    <row r="54" spans="27:27" x14ac:dyDescent="0.25">
      <c r="AA54" s="125"/>
    </row>
    <row r="55" spans="27:27" x14ac:dyDescent="0.25">
      <c r="AA55" s="125"/>
    </row>
    <row r="56" spans="27:27" x14ac:dyDescent="0.25">
      <c r="AA56" s="125"/>
    </row>
    <row r="57" spans="27:27" x14ac:dyDescent="0.25">
      <c r="AA57" s="125"/>
    </row>
    <row r="58" spans="27:27" x14ac:dyDescent="0.25">
      <c r="AA58" s="125"/>
    </row>
    <row r="59" spans="27:27" x14ac:dyDescent="0.25">
      <c r="AA59" s="125"/>
    </row>
    <row r="60" spans="27:27" x14ac:dyDescent="0.25">
      <c r="AA60" s="125"/>
    </row>
    <row r="61" spans="27:27" x14ac:dyDescent="0.25">
      <c r="AA61" s="125"/>
    </row>
    <row r="62" spans="27:27" x14ac:dyDescent="0.25">
      <c r="AA62" s="125"/>
    </row>
    <row r="63" spans="27:27" x14ac:dyDescent="0.25">
      <c r="AA63" s="125"/>
    </row>
    <row r="64" spans="27:27" x14ac:dyDescent="0.25">
      <c r="AA64" s="125"/>
    </row>
    <row r="65" spans="27:27" x14ac:dyDescent="0.25">
      <c r="AA65" s="125"/>
    </row>
    <row r="66" spans="27:27" x14ac:dyDescent="0.25">
      <c r="AA66" s="125"/>
    </row>
    <row r="67" spans="27:27" x14ac:dyDescent="0.25">
      <c r="AA67" s="125"/>
    </row>
    <row r="68" spans="27:27" x14ac:dyDescent="0.25">
      <c r="AA68" s="125"/>
    </row>
    <row r="69" spans="27:27" x14ac:dyDescent="0.25">
      <c r="AA69" s="125"/>
    </row>
    <row r="70" spans="27:27" x14ac:dyDescent="0.25">
      <c r="AA70" s="125"/>
    </row>
    <row r="71" spans="27:27" x14ac:dyDescent="0.25">
      <c r="AA71" s="125"/>
    </row>
    <row r="72" spans="27:27" x14ac:dyDescent="0.25">
      <c r="AA72" s="125"/>
    </row>
    <row r="73" spans="27:27" x14ac:dyDescent="0.25">
      <c r="AA73" s="125"/>
    </row>
    <row r="74" spans="27:27" x14ac:dyDescent="0.25">
      <c r="AA74" s="125"/>
    </row>
    <row r="75" spans="27:27" x14ac:dyDescent="0.25">
      <c r="AA75" s="125"/>
    </row>
    <row r="76" spans="27:27" x14ac:dyDescent="0.25">
      <c r="AA76" s="125"/>
    </row>
    <row r="77" spans="27:27" x14ac:dyDescent="0.25">
      <c r="AA77" s="125"/>
    </row>
    <row r="78" spans="27:27" x14ac:dyDescent="0.25">
      <c r="AA78" s="125"/>
    </row>
    <row r="79" spans="27:27" x14ac:dyDescent="0.25">
      <c r="AA79" s="125"/>
    </row>
    <row r="80" spans="27:27" x14ac:dyDescent="0.25">
      <c r="AA80" s="125"/>
    </row>
    <row r="81" spans="27:27" x14ac:dyDescent="0.25">
      <c r="AA81" s="125"/>
    </row>
    <row r="82" spans="27:27" x14ac:dyDescent="0.25">
      <c r="AA82" s="125"/>
    </row>
    <row r="83" spans="27:27" x14ac:dyDescent="0.25">
      <c r="AA83" s="125"/>
    </row>
    <row r="84" spans="27:27" x14ac:dyDescent="0.25">
      <c r="AA84" s="125"/>
    </row>
    <row r="85" spans="27:27" x14ac:dyDescent="0.25">
      <c r="AA85" s="125"/>
    </row>
    <row r="86" spans="27:27" x14ac:dyDescent="0.25">
      <c r="AA86" s="125"/>
    </row>
  </sheetData>
  <phoneticPr fontId="12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topLeftCell="A4" zoomScale="85" zoomScaleNormal="85" workbookViewId="0">
      <selection activeCell="V43" sqref="V43"/>
    </sheetView>
  </sheetViews>
  <sheetFormatPr defaultColWidth="10.83203125" defaultRowHeight="11.5" x14ac:dyDescent="0.25"/>
  <cols>
    <col min="1" max="1" width="8.33203125" style="66" customWidth="1"/>
    <col min="2" max="2" width="14.83203125" style="66" customWidth="1"/>
    <col min="3" max="3" width="7.83203125" style="66" customWidth="1"/>
    <col min="4" max="4" width="9.83203125" style="66" customWidth="1"/>
    <col min="5" max="7" width="6.83203125" style="66" customWidth="1"/>
    <col min="8" max="10" width="8.83203125" style="66" customWidth="1"/>
    <col min="11" max="11" width="2.83203125" style="66" customWidth="1"/>
    <col min="12" max="12" width="9.83203125" style="66" customWidth="1"/>
    <col min="13" max="15" width="6.83203125" style="66" customWidth="1"/>
    <col min="16" max="18" width="8.83203125" style="66" customWidth="1"/>
    <col min="19" max="20" width="5.08203125" style="66" customWidth="1"/>
    <col min="21" max="21" width="2.83203125" style="66" customWidth="1"/>
    <col min="22" max="27" width="8.83203125" style="66" customWidth="1"/>
    <col min="28" max="16384" width="10.83203125" style="66"/>
  </cols>
  <sheetData>
    <row r="1" spans="1:27" x14ac:dyDescent="0.25">
      <c r="D1" s="209" t="s">
        <v>62</v>
      </c>
      <c r="E1" s="210"/>
      <c r="F1" s="210"/>
      <c r="G1" s="210"/>
      <c r="H1" s="210"/>
      <c r="I1" s="210"/>
      <c r="J1" s="211"/>
      <c r="L1" s="209" t="s">
        <v>63</v>
      </c>
      <c r="M1" s="210"/>
      <c r="N1" s="210"/>
      <c r="O1" s="210"/>
      <c r="P1" s="210"/>
      <c r="Q1" s="210"/>
      <c r="R1" s="211"/>
      <c r="S1" s="94"/>
      <c r="T1" s="94"/>
      <c r="U1" s="90"/>
      <c r="V1" s="209" t="s">
        <v>64</v>
      </c>
      <c r="W1" s="210"/>
      <c r="X1" s="211"/>
      <c r="Y1" s="209" t="s">
        <v>65</v>
      </c>
      <c r="Z1" s="210"/>
      <c r="AA1" s="211"/>
    </row>
    <row r="2" spans="1:27" x14ac:dyDescent="0.25">
      <c r="A2" s="67"/>
      <c r="B2" s="68"/>
      <c r="C2" s="69" t="s">
        <v>66</v>
      </c>
      <c r="D2" s="70" t="s">
        <v>34</v>
      </c>
      <c r="E2" s="71" t="s">
        <v>35</v>
      </c>
      <c r="F2" s="71" t="s">
        <v>36</v>
      </c>
      <c r="G2" s="71" t="s">
        <v>37</v>
      </c>
      <c r="H2" s="71" t="s">
        <v>67</v>
      </c>
      <c r="I2" s="71" t="s">
        <v>68</v>
      </c>
      <c r="J2" s="89" t="s">
        <v>69</v>
      </c>
      <c r="K2" s="90"/>
      <c r="L2" s="70" t="s">
        <v>34</v>
      </c>
      <c r="M2" s="71" t="s">
        <v>35</v>
      </c>
      <c r="N2" s="71" t="s">
        <v>36</v>
      </c>
      <c r="O2" s="71" t="s">
        <v>37</v>
      </c>
      <c r="P2" s="71" t="s">
        <v>67</v>
      </c>
      <c r="Q2" s="71" t="s">
        <v>68</v>
      </c>
      <c r="R2" s="89" t="s">
        <v>69</v>
      </c>
      <c r="S2" s="95" t="s">
        <v>70</v>
      </c>
      <c r="T2" s="95" t="s">
        <v>71</v>
      </c>
      <c r="U2" s="95"/>
      <c r="V2" s="70" t="s">
        <v>2</v>
      </c>
      <c r="W2" s="71" t="s">
        <v>3</v>
      </c>
      <c r="X2" s="89" t="s">
        <v>4</v>
      </c>
      <c r="Y2" s="70" t="s">
        <v>2</v>
      </c>
      <c r="Z2" s="71" t="s">
        <v>3</v>
      </c>
      <c r="AA2" s="89" t="s">
        <v>4</v>
      </c>
    </row>
    <row r="3" spans="1:27" ht="12" x14ac:dyDescent="0.25">
      <c r="A3" s="72" t="s">
        <v>7</v>
      </c>
      <c r="B3" s="69" t="s">
        <v>39</v>
      </c>
      <c r="C3" s="73">
        <v>43</v>
      </c>
      <c r="D3" s="74">
        <f>Reference!B1</f>
        <v>77497.984899999996</v>
      </c>
      <c r="E3" s="75">
        <f>Reference!C1</f>
        <v>40.8005</v>
      </c>
      <c r="F3" s="75">
        <f>Reference!D1</f>
        <v>49.129199999999997</v>
      </c>
      <c r="G3" s="75">
        <f>Reference!E1</f>
        <v>47.6556</v>
      </c>
      <c r="H3" s="75">
        <f>Reference!F1</f>
        <v>67651.577999999994</v>
      </c>
      <c r="I3" s="75">
        <f>Reference!G1</f>
        <v>24.885000000000002</v>
      </c>
      <c r="J3" s="91">
        <f>H3/3600</f>
        <v>18.792104999999999</v>
      </c>
      <c r="L3" s="74">
        <f>Test!B1</f>
        <v>77326.066999999995</v>
      </c>
      <c r="M3" s="75">
        <f>Test!C1</f>
        <v>40.795999999999999</v>
      </c>
      <c r="N3" s="75">
        <f>Test!D1</f>
        <v>49.128100000000003</v>
      </c>
      <c r="O3" s="75">
        <f>Test!E1</f>
        <v>47.654499999999999</v>
      </c>
      <c r="P3" s="75">
        <f>Test!F1</f>
        <v>60248.156000000003</v>
      </c>
      <c r="Q3" s="75">
        <f>Test!G1</f>
        <v>24.350999999999999</v>
      </c>
      <c r="R3" s="75">
        <f>P3/3600</f>
        <v>16.735598888888891</v>
      </c>
      <c r="S3" s="74">
        <f>P3/H3</f>
        <v>0.89056542036610009</v>
      </c>
      <c r="T3" s="75">
        <f>Q3/I3</f>
        <v>0.97854128993369494</v>
      </c>
      <c r="U3" s="96"/>
      <c r="V3" s="97">
        <f>bdrate($D3:$D6,E3:E6,$L3:$L6,M3:M6)</f>
        <v>1.4131900827571986E-3</v>
      </c>
      <c r="W3" s="97">
        <f>bdrate($D3:$D6,F3:F6,$L3:$L6,N3:N6)</f>
        <v>-5.6825947092753459E-4</v>
      </c>
      <c r="X3" s="98">
        <f>bdrate($D3:$D6,G3:G6,$L3:$L6,O3:O6)</f>
        <v>-1.550634695026698E-4</v>
      </c>
      <c r="Y3" s="105">
        <f>bdrateOld($D3:$D6,E3:E6,$L3:$L6,M3:M6)</f>
        <v>1.4797531790484708E-3</v>
      </c>
      <c r="Z3" s="97">
        <f>bdrateOld($D3:$D6,F3:F6,$L3:$L6,N3:N6)</f>
        <v>-3.8549860516368106E-4</v>
      </c>
      <c r="AA3" s="98">
        <f>bdrateOld($D3:$D6,G3:G6,$L3:$L6,O3:O6)</f>
        <v>-1.9136648926421085E-4</v>
      </c>
    </row>
    <row r="4" spans="1:27" x14ac:dyDescent="0.25">
      <c r="A4" s="76" t="s">
        <v>72</v>
      </c>
      <c r="B4" s="77"/>
      <c r="C4" s="76">
        <v>48</v>
      </c>
      <c r="D4" s="78">
        <f>Reference!B2</f>
        <v>41825.124300000003</v>
      </c>
      <c r="E4" s="79">
        <f>Reference!C2</f>
        <v>40.149900000000002</v>
      </c>
      <c r="F4" s="79">
        <f>Reference!D2</f>
        <v>48.338000000000001</v>
      </c>
      <c r="G4" s="79">
        <f>Reference!E2</f>
        <v>46.536099999999998</v>
      </c>
      <c r="H4" s="79">
        <f>Reference!F2</f>
        <v>37905.218999999997</v>
      </c>
      <c r="I4" s="79">
        <f>Reference!G2</f>
        <v>24.021000000000001</v>
      </c>
      <c r="J4" s="92">
        <f t="shared" ref="J4:J15" si="0">H4/3600</f>
        <v>10.529227499999999</v>
      </c>
      <c r="L4" s="78">
        <f>Test!B2</f>
        <v>41805.145900000003</v>
      </c>
      <c r="M4" s="79">
        <f>Test!C2</f>
        <v>40.1477</v>
      </c>
      <c r="N4" s="79">
        <f>Test!D2</f>
        <v>48.34</v>
      </c>
      <c r="O4" s="79">
        <f>Test!E2</f>
        <v>46.534700000000001</v>
      </c>
      <c r="P4" s="79">
        <f>Test!F2</f>
        <v>35017.171999999999</v>
      </c>
      <c r="Q4" s="79">
        <f>Test!G2</f>
        <v>23.751999999999999</v>
      </c>
      <c r="R4" s="79">
        <f t="shared" ref="R4:R15" si="1">P4/3600</f>
        <v>9.726992222222222</v>
      </c>
      <c r="S4" s="78">
        <f t="shared" ref="S4:T14" si="2">P4/H4</f>
        <v>0.92380872407042425</v>
      </c>
      <c r="T4" s="79">
        <f t="shared" si="2"/>
        <v>0.98880146538445524</v>
      </c>
      <c r="U4" s="99"/>
      <c r="V4" s="100"/>
      <c r="W4" s="100"/>
      <c r="X4" s="101"/>
      <c r="Y4" s="106"/>
      <c r="Z4" s="100"/>
      <c r="AA4" s="101"/>
    </row>
    <row r="5" spans="1:27" x14ac:dyDescent="0.25">
      <c r="A5" s="76"/>
      <c r="B5" s="77"/>
      <c r="C5" s="76">
        <v>54</v>
      </c>
      <c r="D5" s="78">
        <f>Reference!B3</f>
        <v>25032.570800000001</v>
      </c>
      <c r="E5" s="79">
        <f>Reference!C3</f>
        <v>39.418100000000003</v>
      </c>
      <c r="F5" s="79">
        <f>Reference!D3</f>
        <v>47.363900000000001</v>
      </c>
      <c r="G5" s="79">
        <f>Reference!E3</f>
        <v>45.252200000000002</v>
      </c>
      <c r="H5" s="79">
        <f>Reference!F3</f>
        <v>22696.006000000001</v>
      </c>
      <c r="I5" s="79">
        <f>Reference!G3</f>
        <v>24.84</v>
      </c>
      <c r="J5" s="92">
        <f t="shared" si="0"/>
        <v>6.3044461111111119</v>
      </c>
      <c r="L5" s="78">
        <f>Test!B3</f>
        <v>25005.716799999998</v>
      </c>
      <c r="M5" s="79">
        <f>Test!C3</f>
        <v>39.414299999999997</v>
      </c>
      <c r="N5" s="79">
        <f>Test!D3</f>
        <v>47.361600000000003</v>
      </c>
      <c r="O5" s="79">
        <f>Test!E3</f>
        <v>45.247599999999998</v>
      </c>
      <c r="P5" s="79">
        <f>Test!F3</f>
        <v>21151.995999999999</v>
      </c>
      <c r="Q5" s="79">
        <f>Test!G3</f>
        <v>23.010999999999999</v>
      </c>
      <c r="R5" s="79">
        <f t="shared" si="1"/>
        <v>5.8755544444444441</v>
      </c>
      <c r="S5" s="78">
        <f t="shared" si="2"/>
        <v>0.93196996863677239</v>
      </c>
      <c r="T5" s="79">
        <f t="shared" si="2"/>
        <v>0.92636876006441227</v>
      </c>
      <c r="U5" s="99"/>
      <c r="V5" s="100"/>
      <c r="W5" s="100"/>
      <c r="X5" s="101"/>
      <c r="Y5" s="106"/>
      <c r="Z5" s="100"/>
      <c r="AA5" s="101"/>
    </row>
    <row r="6" spans="1:27" x14ac:dyDescent="0.25">
      <c r="A6" s="76"/>
      <c r="B6" s="80"/>
      <c r="C6" s="81">
        <v>61</v>
      </c>
      <c r="D6" s="82">
        <f>Reference!B4</f>
        <v>14265.6389</v>
      </c>
      <c r="E6" s="83">
        <f>Reference!C4</f>
        <v>38.194800000000001</v>
      </c>
      <c r="F6" s="83">
        <f>Reference!D4</f>
        <v>45.863999999999997</v>
      </c>
      <c r="G6" s="83">
        <f>Reference!E4</f>
        <v>43.448500000000003</v>
      </c>
      <c r="H6" s="83">
        <f>Reference!F4</f>
        <v>12521.004999999999</v>
      </c>
      <c r="I6" s="83">
        <f>Reference!G4</f>
        <v>21.986999999999998</v>
      </c>
      <c r="J6" s="93">
        <f t="shared" si="0"/>
        <v>3.478056944444444</v>
      </c>
      <c r="L6" s="82">
        <f>Test!B4</f>
        <v>14252.0432</v>
      </c>
      <c r="M6" s="83">
        <f>Test!C4</f>
        <v>38.187600000000003</v>
      </c>
      <c r="N6" s="83">
        <f>Test!D4</f>
        <v>45.860599999999998</v>
      </c>
      <c r="O6" s="83">
        <f>Test!E4</f>
        <v>43.451900000000002</v>
      </c>
      <c r="P6" s="83">
        <f>Test!F4</f>
        <v>11708.884</v>
      </c>
      <c r="Q6" s="83">
        <f>Test!G4</f>
        <v>24.17</v>
      </c>
      <c r="R6" s="83">
        <f t="shared" si="1"/>
        <v>3.252467777777778</v>
      </c>
      <c r="S6" s="78">
        <f t="shared" si="2"/>
        <v>0.93513931190028288</v>
      </c>
      <c r="T6" s="79">
        <f t="shared" si="2"/>
        <v>1.0992859416928187</v>
      </c>
      <c r="U6" s="99"/>
      <c r="V6" s="102"/>
      <c r="W6" s="102"/>
      <c r="X6" s="103"/>
      <c r="Y6" s="107"/>
      <c r="Z6" s="102"/>
      <c r="AA6" s="103"/>
    </row>
    <row r="7" spans="1:27" x14ac:dyDescent="0.25">
      <c r="A7" s="76"/>
      <c r="B7" s="69" t="s">
        <v>40</v>
      </c>
      <c r="C7" s="73">
        <v>43</v>
      </c>
      <c r="D7" s="74">
        <f>Reference!B5</f>
        <v>409740.97889999999</v>
      </c>
      <c r="E7" s="75">
        <f>Reference!C5</f>
        <v>42.512500000000003</v>
      </c>
      <c r="F7" s="75">
        <f>Reference!D5</f>
        <v>40.659300000000002</v>
      </c>
      <c r="G7" s="75">
        <f>Reference!E5</f>
        <v>40.544499999999999</v>
      </c>
      <c r="H7" s="75">
        <f>Reference!F5</f>
        <v>123656.344</v>
      </c>
      <c r="I7" s="75">
        <f>Reference!G5</f>
        <v>35.043999999999997</v>
      </c>
      <c r="J7" s="91">
        <f t="shared" si="0"/>
        <v>34.348984444444447</v>
      </c>
      <c r="L7" s="74">
        <f>Test!B5</f>
        <v>410010.8737</v>
      </c>
      <c r="M7" s="75">
        <f>Test!C5</f>
        <v>42.506399999999999</v>
      </c>
      <c r="N7" s="75">
        <f>Test!D5</f>
        <v>40.653100000000002</v>
      </c>
      <c r="O7" s="75">
        <f>Test!E5</f>
        <v>40.539900000000003</v>
      </c>
      <c r="P7" s="75">
        <f>Test!F5</f>
        <v>93041.562999999995</v>
      </c>
      <c r="Q7" s="75">
        <f>Test!G5</f>
        <v>34.887</v>
      </c>
      <c r="R7" s="75">
        <f t="shared" si="1"/>
        <v>25.84487861111111</v>
      </c>
      <c r="S7" s="78">
        <f t="shared" si="2"/>
        <v>0.75242045810443814</v>
      </c>
      <c r="T7" s="79">
        <f t="shared" si="2"/>
        <v>0.99551991781760085</v>
      </c>
      <c r="U7" s="99"/>
      <c r="V7" s="97">
        <f>bdrate($D7:$D10,E7:E10,$L7:$L10,M7:M10)</f>
        <v>1.7269080468254039E-3</v>
      </c>
      <c r="W7" s="97">
        <f>bdrate($D7:$D10,F7:F10,$L7:$L10,N7:N10)</f>
        <v>4.0842344484093296E-4</v>
      </c>
      <c r="X7" s="97">
        <f>bdrate($D7:$D10,G7:G10,$L7:$L10,O7:O10)</f>
        <v>1.3810677915524483E-3</v>
      </c>
      <c r="Y7" s="108">
        <f>bdrateOld($D7:$D10,E7:E10,$L7:$L10,M7:M10)</f>
        <v>1.7221531148059466E-3</v>
      </c>
      <c r="Z7" s="109">
        <f>bdrateOld($D7:$D10,F7:F10,$L7:$L10,N7:N10)</f>
        <v>4.3324679776279851E-4</v>
      </c>
      <c r="AA7" s="110">
        <f>bdrateOld($D7:$D10,G7:G10,$L7:$L10,O7:O10)</f>
        <v>1.361631456080481E-3</v>
      </c>
    </row>
    <row r="8" spans="1:27" x14ac:dyDescent="0.25">
      <c r="A8" s="76"/>
      <c r="B8" s="77"/>
      <c r="C8" s="76">
        <v>48</v>
      </c>
      <c r="D8" s="78">
        <f>Reference!B6</f>
        <v>264960.37890000001</v>
      </c>
      <c r="E8" s="79">
        <f>Reference!C6</f>
        <v>39.822899999999997</v>
      </c>
      <c r="F8" s="79">
        <f>Reference!D6</f>
        <v>37.9251</v>
      </c>
      <c r="G8" s="79">
        <f>Reference!E6</f>
        <v>37.850999999999999</v>
      </c>
      <c r="H8" s="79">
        <f>Reference!F6</f>
        <v>96130.614000000001</v>
      </c>
      <c r="I8" s="79">
        <f>Reference!G6</f>
        <v>31.341999999999999</v>
      </c>
      <c r="J8" s="92">
        <f t="shared" si="0"/>
        <v>26.702948333333335</v>
      </c>
      <c r="L8" s="78">
        <f>Test!B6</f>
        <v>265144.09470000002</v>
      </c>
      <c r="M8" s="79">
        <f>Test!C6</f>
        <v>39.814999999999998</v>
      </c>
      <c r="N8" s="79">
        <f>Test!D6</f>
        <v>37.919699999999999</v>
      </c>
      <c r="O8" s="79">
        <f>Test!E6</f>
        <v>37.844499999999996</v>
      </c>
      <c r="P8" s="79">
        <f>Test!F6</f>
        <v>75472.452999999994</v>
      </c>
      <c r="Q8" s="79">
        <f>Test!G6</f>
        <v>30.503</v>
      </c>
      <c r="R8" s="79">
        <f t="shared" si="1"/>
        <v>20.964570277777778</v>
      </c>
      <c r="S8" s="78">
        <f t="shared" si="2"/>
        <v>0.78510320343943707</v>
      </c>
      <c r="T8" s="79">
        <f t="shared" si="2"/>
        <v>0.97323080849977672</v>
      </c>
      <c r="U8" s="99"/>
      <c r="V8" s="100"/>
      <c r="W8" s="100"/>
      <c r="X8" s="100"/>
      <c r="Y8" s="106"/>
      <c r="Z8" s="100"/>
      <c r="AA8" s="101"/>
    </row>
    <row r="9" spans="1:27" x14ac:dyDescent="0.25">
      <c r="A9" s="76"/>
      <c r="B9" s="77"/>
      <c r="C9" s="76">
        <v>54</v>
      </c>
      <c r="D9" s="78">
        <f>Reference!B7</f>
        <v>150540.96840000001</v>
      </c>
      <c r="E9" s="79">
        <f>Reference!C7</f>
        <v>36.7502</v>
      </c>
      <c r="F9" s="79">
        <f>Reference!D7</f>
        <v>35.389699999999998</v>
      </c>
      <c r="G9" s="79">
        <f>Reference!E7</f>
        <v>35.398800000000001</v>
      </c>
      <c r="H9" s="79">
        <f>Reference!F7</f>
        <v>67577.891000000003</v>
      </c>
      <c r="I9" s="79">
        <f>Reference!G7</f>
        <v>27.527000000000001</v>
      </c>
      <c r="J9" s="92">
        <f t="shared" si="0"/>
        <v>18.77163638888889</v>
      </c>
      <c r="L9" s="78">
        <f>Test!B7</f>
        <v>150572.2947</v>
      </c>
      <c r="M9" s="79">
        <f>Test!C7</f>
        <v>36.7425</v>
      </c>
      <c r="N9" s="79">
        <f>Test!D7</f>
        <v>35.396599999999999</v>
      </c>
      <c r="O9" s="79">
        <f>Test!E7</f>
        <v>35.390099999999997</v>
      </c>
      <c r="P9" s="79">
        <f>Test!F7</f>
        <v>57293.425999999999</v>
      </c>
      <c r="Q9" s="79">
        <f>Test!G7</f>
        <v>27.31</v>
      </c>
      <c r="R9" s="79">
        <f t="shared" si="1"/>
        <v>15.914840555555555</v>
      </c>
      <c r="S9" s="78">
        <f t="shared" si="2"/>
        <v>0.84781317013873658</v>
      </c>
      <c r="T9" s="79">
        <f t="shared" si="2"/>
        <v>0.99211683074799284</v>
      </c>
      <c r="U9" s="99"/>
      <c r="V9" s="100"/>
      <c r="W9" s="100"/>
      <c r="X9" s="100"/>
      <c r="Y9" s="106"/>
      <c r="Z9" s="100"/>
      <c r="AA9" s="101"/>
    </row>
    <row r="10" spans="1:27" x14ac:dyDescent="0.25">
      <c r="A10" s="76"/>
      <c r="B10" s="80"/>
      <c r="C10" s="81">
        <v>61</v>
      </c>
      <c r="D10" s="82">
        <f>Reference!B8</f>
        <v>68728.042100000006</v>
      </c>
      <c r="E10" s="83">
        <f>Reference!C8</f>
        <v>33.543799999999997</v>
      </c>
      <c r="F10" s="83">
        <f>Reference!D8</f>
        <v>32.757399999999997</v>
      </c>
      <c r="G10" s="83">
        <f>Reference!E8</f>
        <v>32.829599999999999</v>
      </c>
      <c r="H10" s="83">
        <f>Reference!F8</f>
        <v>40398.883000000002</v>
      </c>
      <c r="I10" s="83">
        <f>Reference!G8</f>
        <v>23.9</v>
      </c>
      <c r="J10" s="93">
        <f t="shared" si="0"/>
        <v>11.221911944444445</v>
      </c>
      <c r="L10" s="82">
        <f>Test!B8</f>
        <v>68663.284199999995</v>
      </c>
      <c r="M10" s="83">
        <f>Test!C8</f>
        <v>33.5379</v>
      </c>
      <c r="N10" s="83">
        <f>Test!D8</f>
        <v>32.751100000000001</v>
      </c>
      <c r="O10" s="83">
        <f>Test!E8</f>
        <v>32.837299999999999</v>
      </c>
      <c r="P10" s="83">
        <f>Test!F8</f>
        <v>37447.199000000001</v>
      </c>
      <c r="Q10" s="83">
        <f>Test!G8</f>
        <v>24.044</v>
      </c>
      <c r="R10" s="83">
        <f t="shared" si="1"/>
        <v>10.401999722222222</v>
      </c>
      <c r="S10" s="78">
        <f t="shared" si="2"/>
        <v>0.92693649475407525</v>
      </c>
      <c r="T10" s="79">
        <f t="shared" si="2"/>
        <v>1.0060251046025106</v>
      </c>
      <c r="U10" s="99"/>
      <c r="V10" s="102"/>
      <c r="W10" s="102"/>
      <c r="X10" s="102"/>
      <c r="Y10" s="107"/>
      <c r="Z10" s="102"/>
      <c r="AA10" s="103"/>
    </row>
    <row r="11" spans="1:27" x14ac:dyDescent="0.25">
      <c r="A11" s="84"/>
      <c r="B11" s="85" t="s">
        <v>42</v>
      </c>
      <c r="C11" s="73">
        <v>43</v>
      </c>
      <c r="D11" s="74">
        <f>Reference!B9</f>
        <v>161978.19159999999</v>
      </c>
      <c r="E11" s="75">
        <f>Reference!C9</f>
        <v>41.9358</v>
      </c>
      <c r="F11" s="75">
        <f>Reference!D9</f>
        <v>40.659300000000002</v>
      </c>
      <c r="G11" s="75">
        <f>Reference!E9</f>
        <v>40.544499999999999</v>
      </c>
      <c r="H11" s="75">
        <f>Reference!F9</f>
        <v>123656.344</v>
      </c>
      <c r="I11" s="75">
        <f>Reference!G9</f>
        <v>35.043999999999997</v>
      </c>
      <c r="J11" s="91">
        <f t="shared" si="0"/>
        <v>34.348984444444447</v>
      </c>
      <c r="L11" s="74">
        <f>Test!B9</f>
        <v>162062.28</v>
      </c>
      <c r="M11" s="75">
        <f>Test!C9</f>
        <v>41.927199999999999</v>
      </c>
      <c r="N11" s="75">
        <f>Test!D9</f>
        <v>40.470100000000002</v>
      </c>
      <c r="O11" s="75">
        <f>Test!E9</f>
        <v>40.414000000000001</v>
      </c>
      <c r="P11" s="75">
        <f>Test!F9</f>
        <v>93007.531000000003</v>
      </c>
      <c r="Q11" s="75">
        <f>Test!G9</f>
        <v>29.140999999999998</v>
      </c>
      <c r="R11" s="75">
        <f t="shared" si="1"/>
        <v>25.83542527777778</v>
      </c>
      <c r="S11" s="78">
        <f t="shared" si="2"/>
        <v>0.75214524375716629</v>
      </c>
      <c r="T11" s="79">
        <f t="shared" si="2"/>
        <v>0.83155461705284783</v>
      </c>
      <c r="U11" s="99"/>
      <c r="V11" s="97">
        <f>bdrate($D11:$D14,E11:E14,$L11:$L14,M11:M14)</f>
        <v>2.8765978236391376E-3</v>
      </c>
      <c r="W11" s="97">
        <f>bdrate($D11:$D14,F11:F14,$L11:$L14,N11:N14)</f>
        <v>9.1070250074922754E-3</v>
      </c>
      <c r="X11" s="97">
        <f>bdrate($D11:$D14,G11:G14,$L11:$L14,O11:O14)</f>
        <v>6.6645942505378919E-3</v>
      </c>
      <c r="Y11" s="108">
        <f>bdrateOld($D11:$D14,E11:E14,$L11:$L14,M11:M14)</f>
        <v>2.8734664777991803E-3</v>
      </c>
      <c r="Z11" s="109">
        <f>bdrateOld($D11:$D14,F11:F14,$L11:$L14,N11:N14)</f>
        <v>6.8822084666766425E-3</v>
      </c>
      <c r="AA11" s="110">
        <f>bdrateOld($D11:$D14,G11:G14,$L11:$L14,O11:O14)</f>
        <v>5.272221833529489E-3</v>
      </c>
    </row>
    <row r="12" spans="1:27" x14ac:dyDescent="0.25">
      <c r="A12" s="84"/>
      <c r="B12" s="86"/>
      <c r="C12" s="76">
        <v>48</v>
      </c>
      <c r="D12" s="78">
        <f>Reference!B10</f>
        <v>81117.498900000006</v>
      </c>
      <c r="E12" s="79">
        <f>Reference!C10</f>
        <v>39.349200000000003</v>
      </c>
      <c r="F12" s="79">
        <f>Reference!D10</f>
        <v>38.473500000000001</v>
      </c>
      <c r="G12" s="79">
        <f>Reference!E10</f>
        <v>38.3992</v>
      </c>
      <c r="H12" s="79">
        <f>Reference!F10</f>
        <v>75914.812999999995</v>
      </c>
      <c r="I12" s="79">
        <f>Reference!G10</f>
        <v>24.670999999999999</v>
      </c>
      <c r="J12" s="92">
        <f t="shared" si="0"/>
        <v>21.087448055555555</v>
      </c>
      <c r="L12" s="78">
        <f>Test!B10</f>
        <v>81165.84</v>
      </c>
      <c r="M12" s="79">
        <f>Test!C10</f>
        <v>39.341099999999997</v>
      </c>
      <c r="N12" s="79">
        <f>Test!D10</f>
        <v>38.466299999999997</v>
      </c>
      <c r="O12" s="79">
        <f>Test!E10</f>
        <v>38.392800000000001</v>
      </c>
      <c r="P12" s="79">
        <f>Test!F10</f>
        <v>62659.27</v>
      </c>
      <c r="Q12" s="79">
        <f>Test!G10</f>
        <v>24.067</v>
      </c>
      <c r="R12" s="79">
        <f t="shared" si="1"/>
        <v>17.405352777777775</v>
      </c>
      <c r="S12" s="78">
        <f t="shared" si="2"/>
        <v>0.82538924254479817</v>
      </c>
      <c r="T12" s="79">
        <f t="shared" si="2"/>
        <v>0.97551781443800412</v>
      </c>
      <c r="U12" s="99"/>
      <c r="V12" s="100"/>
      <c r="W12" s="100"/>
      <c r="X12" s="100"/>
      <c r="Y12" s="106"/>
      <c r="Z12" s="100"/>
      <c r="AA12" s="101"/>
    </row>
    <row r="13" spans="1:27" x14ac:dyDescent="0.25">
      <c r="A13" s="84"/>
      <c r="B13" s="86"/>
      <c r="C13" s="76">
        <v>54</v>
      </c>
      <c r="D13" s="78">
        <f>Reference!B11</f>
        <v>41185.484199999999</v>
      </c>
      <c r="E13" s="79">
        <f>Reference!C11</f>
        <v>37.509799999999998</v>
      </c>
      <c r="F13" s="79">
        <f>Reference!D11</f>
        <v>36.945500000000003</v>
      </c>
      <c r="G13" s="79">
        <f>Reference!E11</f>
        <v>36.848500000000001</v>
      </c>
      <c r="H13" s="79">
        <f>Reference!F11</f>
        <v>44592.616999999998</v>
      </c>
      <c r="I13" s="79">
        <f>Reference!G11</f>
        <v>21.591999999999999</v>
      </c>
      <c r="J13" s="92">
        <f t="shared" si="0"/>
        <v>12.386838055555556</v>
      </c>
      <c r="L13" s="78">
        <f>Test!B11</f>
        <v>41229.473700000002</v>
      </c>
      <c r="M13" s="79">
        <f>Test!C11</f>
        <v>37.504600000000003</v>
      </c>
      <c r="N13" s="79">
        <f>Test!D11</f>
        <v>36.943100000000001</v>
      </c>
      <c r="O13" s="79">
        <f>Test!E11</f>
        <v>36.848300000000002</v>
      </c>
      <c r="P13" s="79">
        <f>Test!F11</f>
        <v>39871.476999999999</v>
      </c>
      <c r="Q13" s="79">
        <f>Test!G11</f>
        <v>22.024000000000001</v>
      </c>
      <c r="R13" s="79">
        <f t="shared" si="1"/>
        <v>11.075410277777777</v>
      </c>
      <c r="S13" s="78">
        <f t="shared" si="2"/>
        <v>0.89412731708479909</v>
      </c>
      <c r="T13" s="79">
        <f t="shared" si="2"/>
        <v>1.0200074101519083</v>
      </c>
      <c r="U13" s="99"/>
      <c r="V13" s="100"/>
      <c r="W13" s="100"/>
      <c r="X13" s="100"/>
      <c r="Y13" s="106"/>
      <c r="Z13" s="100"/>
      <c r="AA13" s="101"/>
    </row>
    <row r="14" spans="1:27" x14ac:dyDescent="0.25">
      <c r="A14" s="84"/>
      <c r="B14" s="87"/>
      <c r="C14" s="81">
        <v>61</v>
      </c>
      <c r="D14" s="82">
        <f>Reference!B12</f>
        <v>20242.414700000001</v>
      </c>
      <c r="E14" s="83">
        <f>Reference!C12</f>
        <v>35.667200000000001</v>
      </c>
      <c r="F14" s="83">
        <f>Reference!D12</f>
        <v>35.065899999999999</v>
      </c>
      <c r="G14" s="83">
        <f>Reference!E12</f>
        <v>34.993899999999996</v>
      </c>
      <c r="H14" s="83">
        <f>Reference!F12</f>
        <v>25067.771000000001</v>
      </c>
      <c r="I14" s="83">
        <f>Reference!G12</f>
        <v>20.893999999999998</v>
      </c>
      <c r="J14" s="93">
        <f t="shared" si="0"/>
        <v>6.963269722222222</v>
      </c>
      <c r="L14" s="82">
        <f>Test!B12</f>
        <v>20232.48</v>
      </c>
      <c r="M14" s="83">
        <f>Test!C12</f>
        <v>35.661499999999997</v>
      </c>
      <c r="N14" s="83">
        <f>Test!D12</f>
        <v>35.067</v>
      </c>
      <c r="O14" s="83">
        <f>Test!E12</f>
        <v>34.994900000000001</v>
      </c>
      <c r="P14" s="83">
        <f>Test!F12</f>
        <v>23567.484</v>
      </c>
      <c r="Q14" s="83">
        <f>Test!G12</f>
        <v>19.832000000000001</v>
      </c>
      <c r="R14" s="83">
        <f t="shared" si="1"/>
        <v>6.546523333333333</v>
      </c>
      <c r="S14" s="78">
        <f t="shared" si="2"/>
        <v>0.94015076170912837</v>
      </c>
      <c r="T14" s="79">
        <f t="shared" si="2"/>
        <v>0.94917201110366622</v>
      </c>
      <c r="U14" s="99"/>
      <c r="V14" s="102"/>
      <c r="W14" s="102"/>
      <c r="X14" s="102"/>
      <c r="Y14" s="107"/>
      <c r="Z14" s="102"/>
      <c r="AA14" s="103"/>
    </row>
    <row r="15" spans="1:27" x14ac:dyDescent="0.25">
      <c r="A15" s="76"/>
      <c r="B15" s="69" t="s">
        <v>44</v>
      </c>
      <c r="C15" s="73">
        <v>43</v>
      </c>
      <c r="D15" s="74">
        <f>Reference!B13</f>
        <v>178954.8884</v>
      </c>
      <c r="E15" s="75">
        <f>Reference!C13</f>
        <v>38.600900000000003</v>
      </c>
      <c r="F15" s="75">
        <f>Reference!D13</f>
        <v>45.480400000000003</v>
      </c>
      <c r="G15" s="75">
        <f>Reference!E13</f>
        <v>43.284500000000001</v>
      </c>
      <c r="H15" s="75">
        <f>Reference!F13</f>
        <v>122864.898</v>
      </c>
      <c r="I15" s="75">
        <f>Reference!G13</f>
        <v>29.312999999999999</v>
      </c>
      <c r="J15" s="91">
        <f t="shared" si="0"/>
        <v>34.129138333333337</v>
      </c>
      <c r="L15" s="74">
        <f>Test!B13</f>
        <v>178583.04000000001</v>
      </c>
      <c r="M15" s="75">
        <f>Test!C13</f>
        <v>38.594700000000003</v>
      </c>
      <c r="N15" s="75">
        <f>Test!D13</f>
        <v>45.4786</v>
      </c>
      <c r="O15" s="75">
        <f>Test!E13</f>
        <v>43.281300000000002</v>
      </c>
      <c r="P15" s="75">
        <f>Test!F13</f>
        <v>102913.242</v>
      </c>
      <c r="Q15" s="75">
        <f>Test!G13</f>
        <v>29.826000000000001</v>
      </c>
      <c r="R15" s="75">
        <f t="shared" si="1"/>
        <v>28.587011666666665</v>
      </c>
      <c r="S15" s="78">
        <f>P15/H15</f>
        <v>0.83761305039296086</v>
      </c>
      <c r="T15" s="79">
        <f>Q15/I15</f>
        <v>1.0175007675775254</v>
      </c>
      <c r="U15" s="99"/>
      <c r="V15" s="97">
        <f>bdrate($D15:$D18,E15:E18,$L15:$L18,M15:M18)</f>
        <v>1.8152533313084973E-3</v>
      </c>
      <c r="W15" s="97">
        <f>bdrate($D15:$D18,F15:F18,$L15:$L18,N15:N18)</f>
        <v>4.9806568910004678E-4</v>
      </c>
      <c r="X15" s="98">
        <f>bdrate($D15:$D18,G15:G18,$L15:$L18,O15:O18)</f>
        <v>-3.7969386576941488E-4</v>
      </c>
      <c r="Y15" s="105">
        <f>bdrateOld($D15:$D18,E15:E18,$L15:$L18,M15:M18)</f>
        <v>1.8494100727926011E-3</v>
      </c>
      <c r="Z15" s="97">
        <f>bdrateOld($D15:$D18,F15:F18,$L15:$L18,N15:N18)</f>
        <v>5.1082292246817929E-4</v>
      </c>
      <c r="AA15" s="98">
        <f>bdrateOld($D15:$D18,G15:G18,$L15:$L18,O15:O18)</f>
        <v>-4.0154863543351293E-4</v>
      </c>
    </row>
    <row r="16" spans="1:27" x14ac:dyDescent="0.25">
      <c r="A16" s="76"/>
      <c r="B16" s="77"/>
      <c r="C16" s="76">
        <v>48</v>
      </c>
      <c r="D16" s="78">
        <f>Reference!B14</f>
        <v>87394.130499999999</v>
      </c>
      <c r="E16" s="79">
        <f>Reference!C14</f>
        <v>37.662100000000002</v>
      </c>
      <c r="F16" s="79">
        <f>Reference!D14</f>
        <v>44.520600000000002</v>
      </c>
      <c r="G16" s="79">
        <f>Reference!E14</f>
        <v>42.122100000000003</v>
      </c>
      <c r="H16" s="79">
        <f>Reference!F14</f>
        <v>70710.062999999995</v>
      </c>
      <c r="I16" s="79">
        <f>Reference!G14</f>
        <v>25.481999999999999</v>
      </c>
      <c r="J16" s="92">
        <f t="shared" ref="J16:J27" si="3">H16/3600</f>
        <v>19.641684166666664</v>
      </c>
      <c r="L16" s="78">
        <f>Test!B14</f>
        <v>87396.656799999997</v>
      </c>
      <c r="M16" s="79">
        <f>Test!C14</f>
        <v>37.6586</v>
      </c>
      <c r="N16" s="79">
        <f>Test!D14</f>
        <v>44.52</v>
      </c>
      <c r="O16" s="79">
        <f>Test!E14</f>
        <v>42.118699999999997</v>
      </c>
      <c r="P16" s="79">
        <f>Test!F14</f>
        <v>63358.421999999999</v>
      </c>
      <c r="Q16" s="79">
        <f>Test!G14</f>
        <v>26.24</v>
      </c>
      <c r="R16" s="79">
        <f t="shared" ref="R16:R27" si="4">P16/3600</f>
        <v>17.599561666666666</v>
      </c>
      <c r="S16" s="78">
        <f t="shared" ref="S16:S27" si="5">P16/H16</f>
        <v>0.89603119148684685</v>
      </c>
      <c r="T16" s="79">
        <f t="shared" ref="T16:T27" si="6">Q16/I16</f>
        <v>1.0297464877168196</v>
      </c>
      <c r="U16" s="99"/>
      <c r="V16" s="100"/>
      <c r="W16" s="100"/>
      <c r="X16" s="101"/>
      <c r="Y16" s="106"/>
      <c r="Z16" s="100"/>
      <c r="AA16" s="101"/>
    </row>
    <row r="17" spans="1:27" x14ac:dyDescent="0.25">
      <c r="A17" s="76"/>
      <c r="B17" s="77"/>
      <c r="C17" s="76">
        <v>54</v>
      </c>
      <c r="D17" s="78">
        <f>Reference!B15</f>
        <v>50177.178899999999</v>
      </c>
      <c r="E17" s="79">
        <f>Reference!C15</f>
        <v>36.731000000000002</v>
      </c>
      <c r="F17" s="79">
        <f>Reference!D15</f>
        <v>43.464100000000002</v>
      </c>
      <c r="G17" s="79">
        <f>Reference!E15</f>
        <v>40.902900000000002</v>
      </c>
      <c r="H17" s="79">
        <f>Reference!F15</f>
        <v>43035.945</v>
      </c>
      <c r="I17" s="79">
        <f>Reference!G15</f>
        <v>23.965</v>
      </c>
      <c r="J17" s="92">
        <f t="shared" si="3"/>
        <v>11.954429166666667</v>
      </c>
      <c r="L17" s="78">
        <f>Test!B15</f>
        <v>50147.936800000003</v>
      </c>
      <c r="M17" s="79">
        <f>Test!C15</f>
        <v>36.726399999999998</v>
      </c>
      <c r="N17" s="79">
        <f>Test!D15</f>
        <v>43.463099999999997</v>
      </c>
      <c r="O17" s="79">
        <f>Test!E15</f>
        <v>40.907800000000002</v>
      </c>
      <c r="P17" s="79">
        <f>Test!F15</f>
        <v>39287.542999999998</v>
      </c>
      <c r="Q17" s="79">
        <f>Test!G15</f>
        <v>24.673999999999999</v>
      </c>
      <c r="R17" s="79">
        <f t="shared" si="4"/>
        <v>10.913206388888888</v>
      </c>
      <c r="S17" s="78">
        <f t="shared" si="5"/>
        <v>0.91290066942877635</v>
      </c>
      <c r="T17" s="79">
        <f t="shared" si="6"/>
        <v>1.0295848111829751</v>
      </c>
      <c r="U17" s="99"/>
      <c r="V17" s="100"/>
      <c r="W17" s="100"/>
      <c r="X17" s="101"/>
      <c r="Y17" s="106"/>
      <c r="Z17" s="100"/>
      <c r="AA17" s="101"/>
    </row>
    <row r="18" spans="1:27" x14ac:dyDescent="0.25">
      <c r="A18" s="76"/>
      <c r="B18" s="80"/>
      <c r="C18" s="81">
        <v>61</v>
      </c>
      <c r="D18" s="82">
        <f>Reference!B16</f>
        <v>26433.1705</v>
      </c>
      <c r="E18" s="83">
        <f>Reference!C16</f>
        <v>35.2258</v>
      </c>
      <c r="F18" s="83">
        <f>Reference!D16</f>
        <v>42.01</v>
      </c>
      <c r="G18" s="83">
        <f>Reference!E16</f>
        <v>39.510899999999999</v>
      </c>
      <c r="H18" s="83">
        <f>Reference!F16</f>
        <v>25325.664000000001</v>
      </c>
      <c r="I18" s="83">
        <f>Reference!G16</f>
        <v>22.702999999999999</v>
      </c>
      <c r="J18" s="93">
        <f t="shared" si="3"/>
        <v>7.0349066666666671</v>
      </c>
      <c r="L18" s="82">
        <f>Test!B16</f>
        <v>26392.4211</v>
      </c>
      <c r="M18" s="83">
        <f>Test!C16</f>
        <v>35.220999999999997</v>
      </c>
      <c r="N18" s="83">
        <f>Test!D16</f>
        <v>41.998699999999999</v>
      </c>
      <c r="O18" s="83">
        <f>Test!E16</f>
        <v>39.505899999999997</v>
      </c>
      <c r="P18" s="83">
        <f>Test!F16</f>
        <v>23370.523000000001</v>
      </c>
      <c r="Q18" s="83">
        <f>Test!G16</f>
        <v>22.084</v>
      </c>
      <c r="R18" s="83">
        <f t="shared" si="4"/>
        <v>6.4918119444444446</v>
      </c>
      <c r="S18" s="78">
        <f t="shared" si="5"/>
        <v>0.92280001029785441</v>
      </c>
      <c r="T18" s="79">
        <f t="shared" si="6"/>
        <v>0.97273488085275073</v>
      </c>
      <c r="U18" s="99"/>
      <c r="V18" s="102"/>
      <c r="W18" s="102"/>
      <c r="X18" s="103"/>
      <c r="Y18" s="107"/>
      <c r="Z18" s="102"/>
      <c r="AA18" s="103"/>
    </row>
    <row r="19" spans="1:27" ht="12" x14ac:dyDescent="0.25">
      <c r="A19" s="72" t="s">
        <v>8</v>
      </c>
      <c r="B19" s="77" t="s">
        <v>45</v>
      </c>
      <c r="C19" s="73">
        <v>27</v>
      </c>
      <c r="D19" s="74">
        <f>Reference!B17</f>
        <v>68243.104800000001</v>
      </c>
      <c r="E19" s="75">
        <f>Reference!C17</f>
        <v>39.5443</v>
      </c>
      <c r="F19" s="75">
        <f>Reference!D17</f>
        <v>40.376399999999997</v>
      </c>
      <c r="G19" s="75">
        <f>Reference!E17</f>
        <v>43.282200000000003</v>
      </c>
      <c r="H19" s="75">
        <f>Reference!F17</f>
        <v>61109.038999999997</v>
      </c>
      <c r="I19" s="75">
        <f>Reference!G17</f>
        <v>13.992000000000001</v>
      </c>
      <c r="J19" s="91">
        <f t="shared" si="3"/>
        <v>16.974733055555554</v>
      </c>
      <c r="L19" s="74">
        <f>Test!B17</f>
        <v>68251.168300000005</v>
      </c>
      <c r="M19" s="75">
        <f>Test!C17</f>
        <v>39.540900000000001</v>
      </c>
      <c r="N19" s="75">
        <f>Test!D17</f>
        <v>40.373800000000003</v>
      </c>
      <c r="O19" s="75">
        <f>Test!E17</f>
        <v>43.2776</v>
      </c>
      <c r="P19" s="75">
        <f>Test!F17</f>
        <v>50653.02</v>
      </c>
      <c r="Q19" s="75">
        <f>Test!G17</f>
        <v>14.077999999999999</v>
      </c>
      <c r="R19" s="75">
        <f t="shared" si="4"/>
        <v>14.070283333333332</v>
      </c>
      <c r="S19" s="74">
        <f t="shared" si="5"/>
        <v>0.82889570559275194</v>
      </c>
      <c r="T19" s="75">
        <f t="shared" si="6"/>
        <v>1.0061463693539163</v>
      </c>
      <c r="U19" s="96"/>
      <c r="V19" s="97">
        <f>bdrate($D19:$D22,E19:E22,$L19:$L22,M19:M22)</f>
        <v>1.326985786069601E-3</v>
      </c>
      <c r="W19" s="97">
        <f>bdrate($D19:$D22,F19:F22,$L19:$L22,N19:N22)</f>
        <v>1.4429858217175351E-3</v>
      </c>
      <c r="X19" s="97">
        <f>bdrate($D19:$D22,G19:G22,$L19:$L22,O19:O22)</f>
        <v>8.1264653377366436E-4</v>
      </c>
      <c r="Y19" s="108">
        <f>bdrateOld($D19:$D22,E19:E22,$L19:$L22,M19:M22)</f>
        <v>1.2885126851867046E-3</v>
      </c>
      <c r="Z19" s="109">
        <f>bdrateOld($D19:$D22,F19:F22,$L19:$L22,N19:N22)</f>
        <v>1.5020711257724972E-3</v>
      </c>
      <c r="AA19" s="110">
        <f>bdrateOld($D19:$D22,G19:G22,$L19:$L22,O19:O22)</f>
        <v>8.0645289465763881E-4</v>
      </c>
    </row>
    <row r="20" spans="1:27" x14ac:dyDescent="0.25">
      <c r="A20" s="76" t="s">
        <v>73</v>
      </c>
      <c r="B20" s="77"/>
      <c r="C20" s="76">
        <v>32</v>
      </c>
      <c r="D20" s="78">
        <f>Reference!B18</f>
        <v>40723.352400000003</v>
      </c>
      <c r="E20" s="79">
        <f>Reference!C18</f>
        <v>37.901800000000001</v>
      </c>
      <c r="F20" s="79">
        <f>Reference!D18</f>
        <v>39.331499999999998</v>
      </c>
      <c r="G20" s="79">
        <f>Reference!E18</f>
        <v>41.799199999999999</v>
      </c>
      <c r="H20" s="79">
        <f>Reference!F18</f>
        <v>41805.449000000001</v>
      </c>
      <c r="I20" s="79">
        <f>Reference!G18</f>
        <v>12.22</v>
      </c>
      <c r="J20" s="92">
        <f t="shared" si="3"/>
        <v>11.612624722222222</v>
      </c>
      <c r="L20" s="78">
        <f>Test!B18</f>
        <v>40725.015899999999</v>
      </c>
      <c r="M20" s="79">
        <f>Test!C18</f>
        <v>37.896000000000001</v>
      </c>
      <c r="N20" s="79">
        <f>Test!D18</f>
        <v>39.329700000000003</v>
      </c>
      <c r="O20" s="79">
        <f>Test!E18</f>
        <v>41.797899999999998</v>
      </c>
      <c r="P20" s="79">
        <f>Test!F18</f>
        <v>36180.366999999998</v>
      </c>
      <c r="Q20" s="79">
        <f>Test!G18</f>
        <v>12.137</v>
      </c>
      <c r="R20" s="79">
        <f t="shared" si="4"/>
        <v>10.050101944444444</v>
      </c>
      <c r="S20" s="78">
        <f t="shared" si="5"/>
        <v>0.86544620056586397</v>
      </c>
      <c r="T20" s="79">
        <f t="shared" si="6"/>
        <v>0.99320785597381345</v>
      </c>
      <c r="U20" s="99"/>
      <c r="V20" s="100"/>
      <c r="W20" s="100"/>
      <c r="X20" s="100"/>
      <c r="Y20" s="106"/>
      <c r="Z20" s="100"/>
      <c r="AA20" s="101"/>
    </row>
    <row r="21" spans="1:27" x14ac:dyDescent="0.25">
      <c r="A21" s="76"/>
      <c r="B21" s="77"/>
      <c r="C21" s="76">
        <v>38</v>
      </c>
      <c r="D21" s="78">
        <f>Reference!B19</f>
        <v>23427.676200000002</v>
      </c>
      <c r="E21" s="79">
        <f>Reference!C19</f>
        <v>35.976500000000001</v>
      </c>
      <c r="F21" s="79">
        <f>Reference!D19</f>
        <v>38.403700000000001</v>
      </c>
      <c r="G21" s="79">
        <f>Reference!E19</f>
        <v>40.352200000000003</v>
      </c>
      <c r="H21" s="79">
        <f>Reference!F19</f>
        <v>28210.129000000001</v>
      </c>
      <c r="I21" s="79">
        <f>Reference!G19</f>
        <v>10.698</v>
      </c>
      <c r="J21" s="92">
        <f t="shared" si="3"/>
        <v>7.8361469444444447</v>
      </c>
      <c r="L21" s="78">
        <f>Test!B19</f>
        <v>23426.171399999999</v>
      </c>
      <c r="M21" s="79">
        <f>Test!C19</f>
        <v>35.972299999999997</v>
      </c>
      <c r="N21" s="79">
        <f>Test!D19</f>
        <v>38.3996</v>
      </c>
      <c r="O21" s="79">
        <f>Test!E19</f>
        <v>40.350499999999997</v>
      </c>
      <c r="P21" s="79">
        <f>Test!F19</f>
        <v>25554.838</v>
      </c>
      <c r="Q21" s="79">
        <f>Test!G19</f>
        <v>11.295</v>
      </c>
      <c r="R21" s="79">
        <f t="shared" si="4"/>
        <v>7.0985661111111114</v>
      </c>
      <c r="S21" s="78">
        <f t="shared" si="5"/>
        <v>0.90587455307276332</v>
      </c>
      <c r="T21" s="79">
        <f t="shared" si="6"/>
        <v>1.0558048233314639</v>
      </c>
      <c r="U21" s="99"/>
      <c r="V21" s="100"/>
      <c r="W21" s="100"/>
      <c r="X21" s="100"/>
      <c r="Y21" s="106"/>
      <c r="Z21" s="100"/>
      <c r="AA21" s="101"/>
    </row>
    <row r="22" spans="1:27" x14ac:dyDescent="0.25">
      <c r="A22" s="76"/>
      <c r="B22" s="80"/>
      <c r="C22" s="81">
        <v>45</v>
      </c>
      <c r="D22" s="82">
        <f>Reference!B20</f>
        <v>11941.644399999999</v>
      </c>
      <c r="E22" s="83">
        <f>Reference!C20</f>
        <v>33.501899999999999</v>
      </c>
      <c r="F22" s="83">
        <f>Reference!D20</f>
        <v>37.166899999999998</v>
      </c>
      <c r="G22" s="83">
        <f>Reference!E20</f>
        <v>38.611499999999999</v>
      </c>
      <c r="H22" s="83">
        <f>Reference!F20</f>
        <v>17687.398000000001</v>
      </c>
      <c r="I22" s="83">
        <f>Reference!G20</f>
        <v>9.67</v>
      </c>
      <c r="J22" s="93">
        <f t="shared" si="3"/>
        <v>4.9131661111111118</v>
      </c>
      <c r="L22" s="82">
        <f>Test!B20</f>
        <v>11930.450800000001</v>
      </c>
      <c r="M22" s="83">
        <f>Test!C20</f>
        <v>33.494199999999999</v>
      </c>
      <c r="N22" s="83">
        <f>Test!D20</f>
        <v>37.164700000000003</v>
      </c>
      <c r="O22" s="83">
        <f>Test!E20</f>
        <v>38.605400000000003</v>
      </c>
      <c r="P22" s="83">
        <f>Test!F20</f>
        <v>16464.41</v>
      </c>
      <c r="Q22" s="83">
        <f>Test!G20</f>
        <v>10.025</v>
      </c>
      <c r="R22" s="83">
        <f t="shared" si="4"/>
        <v>4.5734472222222218</v>
      </c>
      <c r="S22" s="78">
        <f t="shared" si="5"/>
        <v>0.93085540337815653</v>
      </c>
      <c r="T22" s="79">
        <f t="shared" si="6"/>
        <v>1.0367114788004137</v>
      </c>
      <c r="U22" s="99"/>
      <c r="V22" s="102"/>
      <c r="W22" s="102"/>
      <c r="X22" s="102"/>
      <c r="Y22" s="107"/>
      <c r="Z22" s="102"/>
      <c r="AA22" s="103"/>
    </row>
    <row r="23" spans="1:27" x14ac:dyDescent="0.25">
      <c r="A23" s="84"/>
      <c r="B23" s="77" t="s">
        <v>46</v>
      </c>
      <c r="C23" s="73">
        <v>27</v>
      </c>
      <c r="D23" s="74">
        <f>Reference!B21</f>
        <v>42998.7111</v>
      </c>
      <c r="E23" s="75">
        <f>Reference!C21</f>
        <v>40.1858</v>
      </c>
      <c r="F23" s="75">
        <f>Reference!D21</f>
        <v>44.069800000000001</v>
      </c>
      <c r="G23" s="75">
        <f>Reference!E21</f>
        <v>45.479399999999998</v>
      </c>
      <c r="H23" s="75">
        <f>Reference!F21</f>
        <v>47020.902000000002</v>
      </c>
      <c r="I23" s="75">
        <f>Reference!G21</f>
        <v>12.375999999999999</v>
      </c>
      <c r="J23" s="91">
        <f t="shared" si="3"/>
        <v>13.061361666666667</v>
      </c>
      <c r="L23" s="74">
        <f>Test!B21</f>
        <v>42984.514300000003</v>
      </c>
      <c r="M23" s="75">
        <f>Test!C21</f>
        <v>40.180399999999999</v>
      </c>
      <c r="N23" s="75">
        <f>Test!D21</f>
        <v>44.067500000000003</v>
      </c>
      <c r="O23" s="75">
        <f>Test!E21</f>
        <v>45.478400000000001</v>
      </c>
      <c r="P23" s="75">
        <f>Test!F21</f>
        <v>34025.203000000001</v>
      </c>
      <c r="Q23" s="75">
        <f>Test!G21</f>
        <v>12.27</v>
      </c>
      <c r="R23" s="75">
        <f t="shared" si="4"/>
        <v>9.4514452777777773</v>
      </c>
      <c r="S23" s="78">
        <f t="shared" si="5"/>
        <v>0.72361867919930589</v>
      </c>
      <c r="T23" s="79">
        <f t="shared" si="6"/>
        <v>0.99143503555268264</v>
      </c>
      <c r="U23" s="99"/>
      <c r="V23" s="97">
        <f>bdrate($D23:$D26,E23:E26,$L23:$L26,M23:M26)</f>
        <v>2.3206992452975417E-3</v>
      </c>
      <c r="W23" s="97">
        <f>bdrate($D23:$D26,F23:F26,$L23:$L26,N23:N26)</f>
        <v>-2.7334841195214565E-4</v>
      </c>
      <c r="X23" s="97">
        <f>bdrate($D23:$D26,G23:G26,$L23:$L26,O23:O26)</f>
        <v>-2.6257016385211607E-4</v>
      </c>
      <c r="Y23" s="108">
        <f>bdrateOld($D23:$D26,E23:E26,$L23:$L26,M23:M26)</f>
        <v>2.3015266629984321E-3</v>
      </c>
      <c r="Z23" s="109">
        <f>bdrateOld($D23:$D26,F23:F26,$L23:$L26,N23:N26)</f>
        <v>-2.9067465567744755E-4</v>
      </c>
      <c r="AA23" s="110">
        <f>bdrateOld($D23:$D26,G23:G26,$L23:$L26,O23:O26)</f>
        <v>-2.0584257231048841E-4</v>
      </c>
    </row>
    <row r="24" spans="1:27" x14ac:dyDescent="0.25">
      <c r="A24" s="84"/>
      <c r="B24" s="77"/>
      <c r="C24" s="76">
        <v>32</v>
      </c>
      <c r="D24" s="78">
        <f>Reference!B22</f>
        <v>23403.2127</v>
      </c>
      <c r="E24" s="79">
        <f>Reference!C22</f>
        <v>38.706299999999999</v>
      </c>
      <c r="F24" s="79">
        <f>Reference!D22</f>
        <v>43.029899999999998</v>
      </c>
      <c r="G24" s="79">
        <f>Reference!E22</f>
        <v>43.958799999999997</v>
      </c>
      <c r="H24" s="79">
        <f>Reference!F22</f>
        <v>30783.971000000001</v>
      </c>
      <c r="I24" s="79">
        <f>Reference!G22</f>
        <v>11.038</v>
      </c>
      <c r="J24" s="92">
        <f t="shared" si="3"/>
        <v>8.5511030555555561</v>
      </c>
      <c r="L24" s="78">
        <f>Test!B22</f>
        <v>23418.533299999999</v>
      </c>
      <c r="M24" s="79">
        <f>Test!C22</f>
        <v>38.700499999999998</v>
      </c>
      <c r="N24" s="79">
        <f>Test!D22</f>
        <v>43.032400000000003</v>
      </c>
      <c r="O24" s="79">
        <f>Test!E22</f>
        <v>43.960700000000003</v>
      </c>
      <c r="P24" s="79">
        <f>Test!F22</f>
        <v>23228.705000000002</v>
      </c>
      <c r="Q24" s="79">
        <f>Test!G22</f>
        <v>11.055</v>
      </c>
      <c r="R24" s="79">
        <f t="shared" si="4"/>
        <v>6.4524180555555564</v>
      </c>
      <c r="S24" s="78">
        <f t="shared" si="5"/>
        <v>0.75457142939746147</v>
      </c>
      <c r="T24" s="79">
        <f t="shared" si="6"/>
        <v>1.0015401340822612</v>
      </c>
      <c r="U24" s="99"/>
      <c r="V24" s="100"/>
      <c r="W24" s="100"/>
      <c r="X24" s="100"/>
      <c r="Y24" s="106"/>
      <c r="Z24" s="100"/>
      <c r="AA24" s="101"/>
    </row>
    <row r="25" spans="1:27" x14ac:dyDescent="0.25">
      <c r="A25" s="84"/>
      <c r="B25" s="86"/>
      <c r="C25" s="76">
        <v>38</v>
      </c>
      <c r="D25" s="78">
        <f>Reference!B23</f>
        <v>13142.7556</v>
      </c>
      <c r="E25" s="79">
        <f>Reference!C23</f>
        <v>37.247100000000003</v>
      </c>
      <c r="F25" s="79">
        <f>Reference!D23</f>
        <v>41.877899999999997</v>
      </c>
      <c r="G25" s="79">
        <f>Reference!E23</f>
        <v>42.365000000000002</v>
      </c>
      <c r="H25" s="79">
        <f>Reference!F23</f>
        <v>19699.732</v>
      </c>
      <c r="I25" s="79">
        <f>Reference!G23</f>
        <v>10.503</v>
      </c>
      <c r="J25" s="92">
        <f t="shared" si="3"/>
        <v>5.4721477777777778</v>
      </c>
      <c r="L25" s="78">
        <f>Test!B23</f>
        <v>13147.530199999999</v>
      </c>
      <c r="M25" s="79">
        <f>Test!C23</f>
        <v>37.241399999999999</v>
      </c>
      <c r="N25" s="79">
        <f>Test!D23</f>
        <v>41.881</v>
      </c>
      <c r="O25" s="79">
        <f>Test!E23</f>
        <v>42.364699999999999</v>
      </c>
      <c r="P25" s="79">
        <f>Test!F23</f>
        <v>16105.316000000001</v>
      </c>
      <c r="Q25" s="79">
        <f>Test!G23</f>
        <v>10.145</v>
      </c>
      <c r="R25" s="79">
        <f t="shared" si="4"/>
        <v>4.4736988888888893</v>
      </c>
      <c r="S25" s="78">
        <f t="shared" si="5"/>
        <v>0.81753985282642427</v>
      </c>
      <c r="T25" s="79">
        <f t="shared" si="6"/>
        <v>0.96591450061887074</v>
      </c>
      <c r="U25" s="99"/>
      <c r="V25" s="100"/>
      <c r="W25" s="100"/>
      <c r="X25" s="100"/>
      <c r="Y25" s="106"/>
      <c r="Z25" s="100"/>
      <c r="AA25" s="101"/>
    </row>
    <row r="26" spans="1:27" x14ac:dyDescent="0.25">
      <c r="A26" s="84"/>
      <c r="B26" s="87"/>
      <c r="C26" s="81">
        <v>45</v>
      </c>
      <c r="D26" s="82">
        <f>Reference!B24</f>
        <v>7014.4825000000001</v>
      </c>
      <c r="E26" s="83">
        <f>Reference!C24</f>
        <v>35.314500000000002</v>
      </c>
      <c r="F26" s="83">
        <f>Reference!D24</f>
        <v>40.353499999999997</v>
      </c>
      <c r="G26" s="83">
        <f>Reference!E24</f>
        <v>40.3825</v>
      </c>
      <c r="H26" s="83">
        <f>Reference!F24</f>
        <v>11766.784</v>
      </c>
      <c r="I26" s="83">
        <f>Reference!G24</f>
        <v>9.7029999999999994</v>
      </c>
      <c r="J26" s="93">
        <f t="shared" si="3"/>
        <v>3.268551111111111</v>
      </c>
      <c r="L26" s="82">
        <f>Test!B24</f>
        <v>7005.5873000000001</v>
      </c>
      <c r="M26" s="83">
        <f>Test!C24</f>
        <v>35.307200000000002</v>
      </c>
      <c r="N26" s="83">
        <f>Test!D24</f>
        <v>40.345100000000002</v>
      </c>
      <c r="O26" s="83">
        <f>Test!E24</f>
        <v>40.388199999999998</v>
      </c>
      <c r="P26" s="83">
        <f>Test!F24</f>
        <v>10774.976000000001</v>
      </c>
      <c r="Q26" s="83">
        <f>Test!G24</f>
        <v>9.75</v>
      </c>
      <c r="R26" s="83">
        <f t="shared" si="4"/>
        <v>2.9930488888888891</v>
      </c>
      <c r="S26" s="78">
        <f t="shared" si="5"/>
        <v>0.91571120877208256</v>
      </c>
      <c r="T26" s="79">
        <f t="shared" si="6"/>
        <v>1.0048438627228693</v>
      </c>
      <c r="U26" s="99"/>
      <c r="V26" s="102"/>
      <c r="W26" s="102"/>
      <c r="X26" s="102"/>
      <c r="Y26" s="107"/>
      <c r="Z26" s="102"/>
      <c r="AA26" s="103"/>
    </row>
    <row r="27" spans="1:27" x14ac:dyDescent="0.25">
      <c r="A27" s="76"/>
      <c r="B27" s="69" t="s">
        <v>47</v>
      </c>
      <c r="C27" s="73">
        <v>43</v>
      </c>
      <c r="D27" s="74">
        <f>Reference!B25</f>
        <v>65111.648000000001</v>
      </c>
      <c r="E27" s="75">
        <f>Reference!C25</f>
        <v>41.688299999999998</v>
      </c>
      <c r="F27" s="75">
        <f>Reference!D25</f>
        <v>44.173999999999999</v>
      </c>
      <c r="G27" s="75">
        <f>Reference!E25</f>
        <v>44.928199999999997</v>
      </c>
      <c r="H27" s="75">
        <f>Reference!F25</f>
        <v>52920.82</v>
      </c>
      <c r="I27" s="75">
        <f>Reference!G25</f>
        <v>15.813000000000001</v>
      </c>
      <c r="J27" s="91">
        <f t="shared" si="3"/>
        <v>14.700227777777778</v>
      </c>
      <c r="L27" s="74">
        <f>Test!B25</f>
        <v>65097.747199999998</v>
      </c>
      <c r="M27" s="75">
        <f>Test!C25</f>
        <v>41.680999999999997</v>
      </c>
      <c r="N27" s="75">
        <f>Test!D25</f>
        <v>44.174599999999998</v>
      </c>
      <c r="O27" s="75">
        <f>Test!E25</f>
        <v>44.926200000000001</v>
      </c>
      <c r="P27" s="75">
        <f>Test!F25</f>
        <v>44602.563000000002</v>
      </c>
      <c r="Q27" s="75">
        <f>Test!G25</f>
        <v>15.996</v>
      </c>
      <c r="R27" s="75">
        <f t="shared" si="4"/>
        <v>12.389600833333335</v>
      </c>
      <c r="S27" s="78">
        <f t="shared" si="5"/>
        <v>0.84281692914055384</v>
      </c>
      <c r="T27" s="79">
        <f t="shared" si="6"/>
        <v>1.0115727565926769</v>
      </c>
      <c r="U27" s="99"/>
      <c r="V27" s="97">
        <f>bdrate($D27:$D30,E27:E30,$L27:$L30,M27:M30)</f>
        <v>7.5549659495854904E-4</v>
      </c>
      <c r="W27" s="97">
        <f>bdrate($D27:$D30,F27:F30,$L27:$L30,N27:N30)</f>
        <v>-1.63884430251382E-3</v>
      </c>
      <c r="X27" s="98">
        <f>bdrate($D27:$D30,G27:G30,$L27:$L30,O27:O30)</f>
        <v>-2.3089357165984037E-4</v>
      </c>
      <c r="Y27" s="105">
        <f>bdrateOld($D27:$D30,E27:E30,$L27:$L30,M27:M30)</f>
        <v>7.7216189983553285E-4</v>
      </c>
      <c r="Z27" s="97">
        <f>bdrateOld($D27:$D30,F27:F30,$L27:$L30,N27:N30)</f>
        <v>-1.6762623445391034E-3</v>
      </c>
      <c r="AA27" s="98">
        <f>bdrateOld($D27:$D30,G27:G30,$L27:$L30,O27:O30)</f>
        <v>-3.8103028706326647E-4</v>
      </c>
    </row>
    <row r="28" spans="1:27" x14ac:dyDescent="0.25">
      <c r="A28" s="76"/>
      <c r="B28" s="77"/>
      <c r="C28" s="76">
        <v>48</v>
      </c>
      <c r="D28" s="78">
        <f>Reference!B26</f>
        <v>41955.462399999997</v>
      </c>
      <c r="E28" s="79">
        <f>Reference!C26</f>
        <v>39.8904</v>
      </c>
      <c r="F28" s="79">
        <f>Reference!D26</f>
        <v>42.6511</v>
      </c>
      <c r="G28" s="79">
        <f>Reference!E26</f>
        <v>43.607799999999997</v>
      </c>
      <c r="H28" s="79">
        <f>Reference!F26</f>
        <v>38530.847999999998</v>
      </c>
      <c r="I28" s="79">
        <f>Reference!G26</f>
        <v>13.952</v>
      </c>
      <c r="J28" s="92">
        <f t="shared" ref="J28:J47" si="7">H28/3600</f>
        <v>10.703013333333333</v>
      </c>
      <c r="L28" s="78">
        <f>Test!B26</f>
        <v>41948.4352</v>
      </c>
      <c r="M28" s="79">
        <f>Test!C26</f>
        <v>39.885800000000003</v>
      </c>
      <c r="N28" s="79">
        <f>Test!D26</f>
        <v>42.6541</v>
      </c>
      <c r="O28" s="79">
        <f>Test!E26</f>
        <v>43.603299999999997</v>
      </c>
      <c r="P28" s="79">
        <f>Test!F26</f>
        <v>34453.641000000003</v>
      </c>
      <c r="Q28" s="79">
        <f>Test!G26</f>
        <v>15.239000000000001</v>
      </c>
      <c r="R28" s="79">
        <f t="shared" ref="R28:R47" si="8">P28/3600</f>
        <v>9.5704558333333338</v>
      </c>
      <c r="S28" s="78">
        <f t="shared" ref="S28:S47" si="9">P28/H28</f>
        <v>0.89418330476401675</v>
      </c>
      <c r="T28" s="79">
        <f t="shared" ref="T28:T47" si="10">Q28/I28</f>
        <v>1.0922448394495414</v>
      </c>
      <c r="U28" s="99"/>
      <c r="V28" s="100"/>
      <c r="W28" s="100"/>
      <c r="X28" s="101"/>
      <c r="Y28" s="106"/>
      <c r="Z28" s="100"/>
      <c r="AA28" s="101"/>
    </row>
    <row r="29" spans="1:27" x14ac:dyDescent="0.25">
      <c r="A29" s="76"/>
      <c r="B29" s="77"/>
      <c r="C29" s="76">
        <v>54</v>
      </c>
      <c r="D29" s="78">
        <f>Reference!B27</f>
        <v>24654.604800000001</v>
      </c>
      <c r="E29" s="79">
        <f>Reference!C27</f>
        <v>37.674399999999999</v>
      </c>
      <c r="F29" s="79">
        <f>Reference!D27</f>
        <v>41.263500000000001</v>
      </c>
      <c r="G29" s="79">
        <f>Reference!E27</f>
        <v>42.248800000000003</v>
      </c>
      <c r="H29" s="79">
        <f>Reference!F27</f>
        <v>26642.488000000001</v>
      </c>
      <c r="I29" s="79">
        <f>Reference!G27</f>
        <v>12.638999999999999</v>
      </c>
      <c r="J29" s="92">
        <f t="shared" si="7"/>
        <v>7.4006911111111116</v>
      </c>
      <c r="L29" s="78">
        <f>Test!B27</f>
        <v>24641.990399999999</v>
      </c>
      <c r="M29" s="79">
        <f>Test!C27</f>
        <v>37.669499999999999</v>
      </c>
      <c r="N29" s="79">
        <f>Test!D27</f>
        <v>41.270099999999999</v>
      </c>
      <c r="O29" s="79">
        <f>Test!E27</f>
        <v>42.2532</v>
      </c>
      <c r="P29" s="79">
        <f>Test!F27</f>
        <v>24445.641</v>
      </c>
      <c r="Q29" s="79">
        <f>Test!G27</f>
        <v>13.125999999999999</v>
      </c>
      <c r="R29" s="79">
        <f t="shared" si="8"/>
        <v>6.7904558333333336</v>
      </c>
      <c r="S29" s="78">
        <f t="shared" si="9"/>
        <v>0.91754347416802806</v>
      </c>
      <c r="T29" s="79">
        <f t="shared" si="10"/>
        <v>1.0385315293931483</v>
      </c>
      <c r="U29" s="99"/>
      <c r="V29" s="100"/>
      <c r="W29" s="100"/>
      <c r="X29" s="101"/>
      <c r="Y29" s="106"/>
      <c r="Z29" s="100"/>
      <c r="AA29" s="101"/>
    </row>
    <row r="30" spans="1:27" x14ac:dyDescent="0.25">
      <c r="A30" s="76"/>
      <c r="B30" s="80"/>
      <c r="C30" s="81">
        <v>61</v>
      </c>
      <c r="D30" s="82">
        <f>Reference!B28</f>
        <v>12459.2768</v>
      </c>
      <c r="E30" s="83">
        <f>Reference!C28</f>
        <v>34.997199999999999</v>
      </c>
      <c r="F30" s="83">
        <f>Reference!D28</f>
        <v>39.688800000000001</v>
      </c>
      <c r="G30" s="83">
        <f>Reference!E28</f>
        <v>40.598300000000002</v>
      </c>
      <c r="H30" s="83">
        <f>Reference!F28</f>
        <v>16596.758000000002</v>
      </c>
      <c r="I30" s="83">
        <f>Reference!G28</f>
        <v>12.465</v>
      </c>
      <c r="J30" s="93">
        <f t="shared" si="7"/>
        <v>4.6102105555555557</v>
      </c>
      <c r="L30" s="82">
        <f>Test!B28</f>
        <v>12441.606400000001</v>
      </c>
      <c r="M30" s="83">
        <f>Test!C28</f>
        <v>34.991700000000002</v>
      </c>
      <c r="N30" s="83">
        <f>Test!D28</f>
        <v>39.685000000000002</v>
      </c>
      <c r="O30" s="83">
        <f>Test!E28</f>
        <v>40.592100000000002</v>
      </c>
      <c r="P30" s="83">
        <f>Test!F28</f>
        <v>15183.129000000001</v>
      </c>
      <c r="Q30" s="83">
        <f>Test!G28</f>
        <v>11.776999999999999</v>
      </c>
      <c r="R30" s="83">
        <f t="shared" si="8"/>
        <v>4.2175358333333337</v>
      </c>
      <c r="S30" s="78">
        <f t="shared" si="9"/>
        <v>0.91482499172428733</v>
      </c>
      <c r="T30" s="79">
        <f t="shared" si="10"/>
        <v>0.94480545527476933</v>
      </c>
      <c r="U30" s="99"/>
      <c r="V30" s="102"/>
      <c r="W30" s="102"/>
      <c r="X30" s="103"/>
      <c r="Y30" s="107"/>
      <c r="Z30" s="102"/>
      <c r="AA30" s="103"/>
    </row>
    <row r="31" spans="1:27" x14ac:dyDescent="0.25">
      <c r="A31" s="76"/>
      <c r="B31" s="69" t="s">
        <v>48</v>
      </c>
      <c r="C31" s="73">
        <v>43</v>
      </c>
      <c r="D31" s="74">
        <f>Reference!B29</f>
        <v>39891.321600000003</v>
      </c>
      <c r="E31" s="75">
        <f>Reference!C29</f>
        <v>44.859499999999997</v>
      </c>
      <c r="F31" s="75">
        <f>Reference!D29</f>
        <v>47.069299999999998</v>
      </c>
      <c r="G31" s="75">
        <f>Reference!E29</f>
        <v>48.015999999999998</v>
      </c>
      <c r="H31" s="75">
        <f>Reference!F29</f>
        <v>37193.828000000001</v>
      </c>
      <c r="I31" s="75">
        <f>Reference!G29</f>
        <v>14.286</v>
      </c>
      <c r="J31" s="91">
        <f t="shared" si="7"/>
        <v>10.331618888888888</v>
      </c>
      <c r="L31" s="74">
        <f>Test!B29</f>
        <v>39892.345600000001</v>
      </c>
      <c r="M31" s="75">
        <f>Test!C29</f>
        <v>44.850499999999997</v>
      </c>
      <c r="N31" s="75">
        <f>Test!D29</f>
        <v>47.074100000000001</v>
      </c>
      <c r="O31" s="75">
        <f>Test!E29</f>
        <v>48.025599999999997</v>
      </c>
      <c r="P31" s="75">
        <f>Test!F29</f>
        <v>32177.697</v>
      </c>
      <c r="Q31" s="75">
        <f>Test!G29</f>
        <v>13.967000000000001</v>
      </c>
      <c r="R31" s="75">
        <f t="shared" si="8"/>
        <v>8.938249166666667</v>
      </c>
      <c r="S31" s="78">
        <f t="shared" si="9"/>
        <v>0.86513539289368113</v>
      </c>
      <c r="T31" s="79">
        <f t="shared" si="10"/>
        <v>0.97767044659106828</v>
      </c>
      <c r="U31" s="99"/>
      <c r="V31" s="97">
        <f>bdrate($D31:$D34,E31:E34,$L31:$L34,M31:M34)</f>
        <v>1.4010191797564353E-3</v>
      </c>
      <c r="W31" s="97">
        <f>bdrate($D31:$D34,F31:F34,$L31:$L34,N31:N34)</f>
        <v>-8.2384644496824588E-4</v>
      </c>
      <c r="X31" s="97">
        <f>bdrate($D31:$D34,G31:G34,$L31:$L34,O31:O34)</f>
        <v>-4.4687653671771077E-4</v>
      </c>
      <c r="Y31" s="108">
        <f>bdrateOld($D31:$D34,E31:E34,$L31:$L34,M31:M34)</f>
        <v>1.3891278486828362E-3</v>
      </c>
      <c r="Z31" s="109">
        <f>bdrateOld($D31:$D34,F31:F34,$L31:$L34,N31:N34)</f>
        <v>-8.2971781973395498E-4</v>
      </c>
      <c r="AA31" s="110">
        <f>bdrateOld($D31:$D34,G31:G34,$L31:$L34,O31:O34)</f>
        <v>-4.7329102219195729E-4</v>
      </c>
    </row>
    <row r="32" spans="1:27" x14ac:dyDescent="0.25">
      <c r="A32" s="76"/>
      <c r="B32" s="77"/>
      <c r="C32" s="76">
        <v>48</v>
      </c>
      <c r="D32" s="78">
        <f>Reference!B30</f>
        <v>26307.430400000001</v>
      </c>
      <c r="E32" s="79">
        <f>Reference!C30</f>
        <v>42.712499999999999</v>
      </c>
      <c r="F32" s="79">
        <f>Reference!D30</f>
        <v>45.302399999999999</v>
      </c>
      <c r="G32" s="79">
        <f>Reference!E30</f>
        <v>46.144399999999997</v>
      </c>
      <c r="H32" s="79">
        <f>Reference!F30</f>
        <v>28631.300999999999</v>
      </c>
      <c r="I32" s="79">
        <f>Reference!G30</f>
        <v>13.858000000000001</v>
      </c>
      <c r="J32" s="92">
        <f t="shared" si="7"/>
        <v>7.9531391666666664</v>
      </c>
      <c r="L32" s="78">
        <f>Test!B30</f>
        <v>26305.561600000001</v>
      </c>
      <c r="M32" s="79">
        <f>Test!C30</f>
        <v>42.703600000000002</v>
      </c>
      <c r="N32" s="79">
        <f>Test!D30</f>
        <v>45.310600000000001</v>
      </c>
      <c r="O32" s="79">
        <f>Test!E30</f>
        <v>46.141500000000001</v>
      </c>
      <c r="P32" s="79">
        <f>Test!F30</f>
        <v>25688.535</v>
      </c>
      <c r="Q32" s="79">
        <f>Test!G30</f>
        <v>13.414999999999999</v>
      </c>
      <c r="R32" s="79">
        <f t="shared" si="8"/>
        <v>7.1357041666666667</v>
      </c>
      <c r="S32" s="78">
        <f t="shared" si="9"/>
        <v>0.89721857207955724</v>
      </c>
      <c r="T32" s="79">
        <f t="shared" si="10"/>
        <v>0.96803290518112273</v>
      </c>
      <c r="U32" s="99"/>
      <c r="V32" s="100"/>
      <c r="W32" s="100"/>
      <c r="X32" s="100"/>
      <c r="Y32" s="106"/>
      <c r="Z32" s="100"/>
      <c r="AA32" s="101"/>
    </row>
    <row r="33" spans="1:27" x14ac:dyDescent="0.25">
      <c r="A33" s="76"/>
      <c r="B33" s="77"/>
      <c r="C33" s="76">
        <v>54</v>
      </c>
      <c r="D33" s="78">
        <f>Reference!B31</f>
        <v>15583.046399999999</v>
      </c>
      <c r="E33" s="79">
        <f>Reference!C31</f>
        <v>40.039299999999997</v>
      </c>
      <c r="F33" s="79">
        <f>Reference!D31</f>
        <v>43.6798</v>
      </c>
      <c r="G33" s="79">
        <f>Reference!E31</f>
        <v>44.342700000000001</v>
      </c>
      <c r="H33" s="79">
        <f>Reference!F31</f>
        <v>21089.516</v>
      </c>
      <c r="I33" s="79">
        <f>Reference!G31</f>
        <v>12.638999999999999</v>
      </c>
      <c r="J33" s="92">
        <f t="shared" si="7"/>
        <v>5.8581988888888885</v>
      </c>
      <c r="L33" s="78">
        <f>Test!B31</f>
        <v>15578.540800000001</v>
      </c>
      <c r="M33" s="79">
        <f>Test!C31</f>
        <v>40.032200000000003</v>
      </c>
      <c r="N33" s="79">
        <f>Test!D31</f>
        <v>43.6783</v>
      </c>
      <c r="O33" s="79">
        <f>Test!E31</f>
        <v>44.345399999999998</v>
      </c>
      <c r="P33" s="79">
        <f>Test!F31</f>
        <v>18688.988000000001</v>
      </c>
      <c r="Q33" s="79">
        <f>Test!G31</f>
        <v>12.866</v>
      </c>
      <c r="R33" s="79">
        <f t="shared" si="8"/>
        <v>5.1913855555555557</v>
      </c>
      <c r="S33" s="78">
        <f t="shared" si="9"/>
        <v>0.8861743436881151</v>
      </c>
      <c r="T33" s="79">
        <f t="shared" si="10"/>
        <v>1.0179602816678535</v>
      </c>
      <c r="U33" s="99"/>
      <c r="V33" s="100"/>
      <c r="W33" s="100"/>
      <c r="X33" s="100"/>
      <c r="Y33" s="106"/>
      <c r="Z33" s="100"/>
      <c r="AA33" s="101"/>
    </row>
    <row r="34" spans="1:27" x14ac:dyDescent="0.25">
      <c r="A34" s="76"/>
      <c r="B34" s="80"/>
      <c r="C34" s="81">
        <v>61</v>
      </c>
      <c r="D34" s="82">
        <f>Reference!B32</f>
        <v>8138.0672000000004</v>
      </c>
      <c r="E34" s="83">
        <f>Reference!C32</f>
        <v>36.983899999999998</v>
      </c>
      <c r="F34" s="83">
        <f>Reference!D32</f>
        <v>41.812800000000003</v>
      </c>
      <c r="G34" s="83">
        <f>Reference!E32</f>
        <v>42.187600000000003</v>
      </c>
      <c r="H34" s="83">
        <f>Reference!F32</f>
        <v>13179.629000000001</v>
      </c>
      <c r="I34" s="83">
        <f>Reference!G32</f>
        <v>11.013999999999999</v>
      </c>
      <c r="J34" s="93">
        <f t="shared" si="7"/>
        <v>3.661008055555556</v>
      </c>
      <c r="L34" s="82">
        <f>Test!B32</f>
        <v>8130.8224</v>
      </c>
      <c r="M34" s="83">
        <f>Test!C32</f>
        <v>36.9739</v>
      </c>
      <c r="N34" s="83">
        <f>Test!D32</f>
        <v>41.809199999999997</v>
      </c>
      <c r="O34" s="83">
        <f>Test!E32</f>
        <v>42.185400000000001</v>
      </c>
      <c r="P34" s="83">
        <f>Test!F32</f>
        <v>11749.002</v>
      </c>
      <c r="Q34" s="83">
        <f>Test!G32</f>
        <v>12.324</v>
      </c>
      <c r="R34" s="83">
        <f t="shared" si="8"/>
        <v>3.2636116666666668</v>
      </c>
      <c r="S34" s="78">
        <f t="shared" si="9"/>
        <v>0.89145164860103421</v>
      </c>
      <c r="T34" s="79">
        <f t="shared" si="10"/>
        <v>1.118939531505357</v>
      </c>
      <c r="U34" s="99"/>
      <c r="V34" s="102"/>
      <c r="W34" s="102"/>
      <c r="X34" s="102"/>
      <c r="Y34" s="107"/>
      <c r="Z34" s="102"/>
      <c r="AA34" s="103"/>
    </row>
    <row r="35" spans="1:27" ht="12" x14ac:dyDescent="0.25">
      <c r="A35" s="72" t="s">
        <v>9</v>
      </c>
      <c r="B35" s="69" t="s">
        <v>49</v>
      </c>
      <c r="C35" s="73">
        <v>27</v>
      </c>
      <c r="D35" s="74">
        <f>Reference!B33</f>
        <v>54232.108800000002</v>
      </c>
      <c r="E35" s="75">
        <f>Reference!C33</f>
        <v>41.691600000000001</v>
      </c>
      <c r="F35" s="75">
        <f>Reference!D33</f>
        <v>45.695700000000002</v>
      </c>
      <c r="G35" s="75">
        <f>Reference!E33</f>
        <v>46.055199999999999</v>
      </c>
      <c r="H35" s="75">
        <f>Reference!F33</f>
        <v>42017.445</v>
      </c>
      <c r="I35" s="75">
        <v>0</v>
      </c>
      <c r="J35" s="91">
        <f t="shared" si="7"/>
        <v>11.6715125</v>
      </c>
      <c r="L35" s="74">
        <f>Test!B33</f>
        <v>54280.294399999999</v>
      </c>
      <c r="M35" s="75">
        <f>Test!C33</f>
        <v>41.680999999999997</v>
      </c>
      <c r="N35" s="75">
        <f>Test!D33</f>
        <v>45.693899999999999</v>
      </c>
      <c r="O35" s="75">
        <f>Test!E33</f>
        <v>46.043999999999997</v>
      </c>
      <c r="P35" s="75">
        <f>Test!F33</f>
        <v>29327.59</v>
      </c>
      <c r="Q35" s="75">
        <v>0</v>
      </c>
      <c r="R35" s="75">
        <f t="shared" si="8"/>
        <v>8.146552777777778</v>
      </c>
      <c r="S35" s="74">
        <f t="shared" si="9"/>
        <v>0.69798603889408317</v>
      </c>
      <c r="T35" s="75" t="e">
        <f t="shared" si="10"/>
        <v>#DIV/0!</v>
      </c>
      <c r="U35" s="96"/>
      <c r="V35" s="97">
        <f>bdrate($D35:$D38,E35:E38,$L35:$L38,M35:M38)</f>
        <v>2.5927420260236644E-3</v>
      </c>
      <c r="W35" s="97">
        <f>bdrate($D35:$D38,F35:F38,$L35:$L38,N35:N38)</f>
        <v>5.4975556913150481E-3</v>
      </c>
      <c r="X35" s="97">
        <f>bdrate($D35:$D38,G35:G38,$L35:$L38,O35:O38)</f>
        <v>2.4150003909828577E-3</v>
      </c>
      <c r="Y35" s="108">
        <f>bdrateOld($D35:$D38,E35:E38,$L35:$L38,M35:M38)</f>
        <v>2.6147779281739947E-3</v>
      </c>
      <c r="Z35" s="109">
        <f>bdrateOld($D35:$D38,F35:F38,$L35:$L38,N35:N38)</f>
        <v>5.508415077967399E-3</v>
      </c>
      <c r="AA35" s="110">
        <f>bdrateOld($D35:$D38,G35:G38,$L35:$L38,O35:O38)</f>
        <v>2.2769679603271697E-3</v>
      </c>
    </row>
    <row r="36" spans="1:27" x14ac:dyDescent="0.25">
      <c r="A36" s="76" t="s">
        <v>74</v>
      </c>
      <c r="B36" s="77"/>
      <c r="C36" s="76">
        <v>32</v>
      </c>
      <c r="D36" s="78">
        <f>Reference!B34</f>
        <v>37054.7264</v>
      </c>
      <c r="E36" s="79">
        <f>Reference!C34</f>
        <v>38.760300000000001</v>
      </c>
      <c r="F36" s="79">
        <f>Reference!D34</f>
        <v>43.735900000000001</v>
      </c>
      <c r="G36" s="79">
        <f>Reference!E34</f>
        <v>44.156500000000001</v>
      </c>
      <c r="H36" s="79">
        <f>Reference!F34</f>
        <v>34344.32</v>
      </c>
      <c r="I36" s="79">
        <v>0</v>
      </c>
      <c r="J36" s="92">
        <f t="shared" si="7"/>
        <v>9.5400888888888886</v>
      </c>
      <c r="L36" s="78">
        <f>Test!B34</f>
        <v>37121.849600000001</v>
      </c>
      <c r="M36" s="79">
        <f>Test!C34</f>
        <v>38.7532</v>
      </c>
      <c r="N36" s="79">
        <f>Test!D34</f>
        <v>43.723999999999997</v>
      </c>
      <c r="O36" s="79">
        <f>Test!E34</f>
        <v>44.150300000000001</v>
      </c>
      <c r="P36" s="79">
        <f>Test!F34</f>
        <v>25388.98</v>
      </c>
      <c r="Q36" s="79">
        <v>0</v>
      </c>
      <c r="R36" s="79">
        <f t="shared" si="8"/>
        <v>7.0524944444444442</v>
      </c>
      <c r="S36" s="78">
        <f t="shared" si="9"/>
        <v>0.73924829491455935</v>
      </c>
      <c r="T36" s="79" t="e">
        <f t="shared" si="10"/>
        <v>#DIV/0!</v>
      </c>
      <c r="U36" s="99"/>
      <c r="V36" s="100"/>
      <c r="W36" s="100"/>
      <c r="X36" s="100"/>
      <c r="Y36" s="106"/>
      <c r="Z36" s="100"/>
      <c r="AA36" s="101"/>
    </row>
    <row r="37" spans="1:27" x14ac:dyDescent="0.25">
      <c r="A37" s="76"/>
      <c r="B37" s="77"/>
      <c r="C37" s="76">
        <v>38</v>
      </c>
      <c r="D37" s="78">
        <f>Reference!B35</f>
        <v>22016.6528</v>
      </c>
      <c r="E37" s="79">
        <f>Reference!C35</f>
        <v>35.389600000000002</v>
      </c>
      <c r="F37" s="79">
        <f>Reference!D35</f>
        <v>42.098399999999998</v>
      </c>
      <c r="G37" s="79">
        <f>Reference!E35</f>
        <v>42.624099999999999</v>
      </c>
      <c r="H37" s="79">
        <f>Reference!F35</f>
        <v>25812.162</v>
      </c>
      <c r="I37" s="79">
        <v>0</v>
      </c>
      <c r="J37" s="92">
        <f t="shared" si="7"/>
        <v>7.170045</v>
      </c>
      <c r="L37" s="78">
        <f>Test!B35</f>
        <v>22049.049599999998</v>
      </c>
      <c r="M37" s="79">
        <f>Test!C35</f>
        <v>35.379100000000001</v>
      </c>
      <c r="N37" s="79">
        <f>Test!D35</f>
        <v>42.0839</v>
      </c>
      <c r="O37" s="79">
        <f>Test!E35</f>
        <v>42.618600000000001</v>
      </c>
      <c r="P37" s="79">
        <f>Test!F35</f>
        <v>21515.116999999998</v>
      </c>
      <c r="Q37" s="79">
        <v>0</v>
      </c>
      <c r="R37" s="79">
        <f t="shared" si="8"/>
        <v>5.9764213888888884</v>
      </c>
      <c r="S37" s="78">
        <f t="shared" si="9"/>
        <v>0.83352634312460916</v>
      </c>
      <c r="T37" s="79" t="e">
        <f t="shared" si="10"/>
        <v>#DIV/0!</v>
      </c>
      <c r="U37" s="99"/>
      <c r="V37" s="100"/>
      <c r="W37" s="100"/>
      <c r="X37" s="100"/>
      <c r="Y37" s="106"/>
      <c r="Z37" s="100"/>
      <c r="AA37" s="101"/>
    </row>
    <row r="38" spans="1:27" x14ac:dyDescent="0.25">
      <c r="A38" s="76"/>
      <c r="B38" s="80"/>
      <c r="C38" s="81">
        <v>45</v>
      </c>
      <c r="D38" s="82">
        <f>Reference!B36</f>
        <v>10870.5728</v>
      </c>
      <c r="E38" s="83">
        <f>Reference!C36</f>
        <v>31.769400000000001</v>
      </c>
      <c r="F38" s="83">
        <f>Reference!D36</f>
        <v>40.547600000000003</v>
      </c>
      <c r="G38" s="83">
        <f>Reference!E36</f>
        <v>41.185200000000002</v>
      </c>
      <c r="H38" s="83">
        <f>Reference!F36</f>
        <v>16907.02</v>
      </c>
      <c r="I38" s="83">
        <f>Reference!G36</f>
        <v>5.9720000000000004</v>
      </c>
      <c r="J38" s="93">
        <f t="shared" si="7"/>
        <v>4.6963944444444445</v>
      </c>
      <c r="L38" s="82">
        <f>Test!B36</f>
        <v>10855.686400000001</v>
      </c>
      <c r="M38" s="83">
        <f>Test!C36</f>
        <v>31.761700000000001</v>
      </c>
      <c r="N38" s="83">
        <f>Test!D36</f>
        <v>40.528199999999998</v>
      </c>
      <c r="O38" s="83">
        <f>Test!E36</f>
        <v>41.192700000000002</v>
      </c>
      <c r="P38" s="83">
        <f>Test!F36</f>
        <v>15299.450999999999</v>
      </c>
      <c r="Q38" s="83">
        <v>0</v>
      </c>
      <c r="R38" s="83">
        <f t="shared" si="8"/>
        <v>4.2498474999999996</v>
      </c>
      <c r="S38" s="78">
        <f t="shared" si="9"/>
        <v>0.9049170699508251</v>
      </c>
      <c r="T38" s="79">
        <f t="shared" si="10"/>
        <v>0</v>
      </c>
      <c r="U38" s="99"/>
      <c r="V38" s="102"/>
      <c r="W38" s="102"/>
      <c r="X38" s="102"/>
      <c r="Y38" s="107"/>
      <c r="Z38" s="102"/>
      <c r="AA38" s="103"/>
    </row>
    <row r="39" spans="1:27" x14ac:dyDescent="0.25">
      <c r="A39" s="76"/>
      <c r="B39" s="69" t="s">
        <v>54</v>
      </c>
      <c r="C39" s="73">
        <v>27</v>
      </c>
      <c r="D39" s="74">
        <f>Reference!B37</f>
        <v>20390.604800000001</v>
      </c>
      <c r="E39" s="75">
        <f>Reference!C37</f>
        <v>42.667299999999997</v>
      </c>
      <c r="F39" s="75">
        <f>Reference!D37</f>
        <v>45.424700000000001</v>
      </c>
      <c r="G39" s="75">
        <f>Reference!E37</f>
        <v>46.883699999999997</v>
      </c>
      <c r="H39" s="75">
        <f>Reference!F37</f>
        <v>32635.32</v>
      </c>
      <c r="I39" s="75">
        <f>Reference!G37</f>
        <v>10.36</v>
      </c>
      <c r="J39" s="91">
        <f t="shared" si="7"/>
        <v>9.0653666666666659</v>
      </c>
      <c r="L39" s="74">
        <f>Test!B37</f>
        <v>20398.284800000001</v>
      </c>
      <c r="M39" s="75">
        <f>Test!C37</f>
        <v>42.655299999999997</v>
      </c>
      <c r="N39" s="75">
        <f>Test!D37</f>
        <v>45.4251</v>
      </c>
      <c r="O39" s="75">
        <f>Test!E37</f>
        <v>46.889299999999999</v>
      </c>
      <c r="P39" s="75">
        <f>Test!F37</f>
        <v>25279.123</v>
      </c>
      <c r="Q39" s="75">
        <f>Test!G37</f>
        <v>9.7970000000000006</v>
      </c>
      <c r="R39" s="75">
        <f t="shared" si="8"/>
        <v>7.0219786111111109</v>
      </c>
      <c r="S39" s="78">
        <f t="shared" si="9"/>
        <v>0.77459399815904972</v>
      </c>
      <c r="T39" s="79">
        <f t="shared" si="10"/>
        <v>0.94565637065637076</v>
      </c>
      <c r="U39" s="99"/>
      <c r="V39" s="97">
        <f>bdrate($D39:$D42,E39:E42,$L39:$L42,M39:M42)</f>
        <v>3.1923539005369594E-3</v>
      </c>
      <c r="W39" s="97">
        <f>bdrate($D39:$D42,F39:F42,$L39:$L42,N39:N42)</f>
        <v>-1.5013925799097771E-3</v>
      </c>
      <c r="X39" s="97">
        <f>bdrate($D39:$D42,G39:G42,$L39:$L42,O39:O42)</f>
        <v>1.4847410186102916E-3</v>
      </c>
      <c r="Y39" s="108">
        <f>bdrateOld($D39:$D42,E39:E42,$L39:$L42,M39:M42)</f>
        <v>3.1861324745954267E-3</v>
      </c>
      <c r="Z39" s="109">
        <f>bdrateOld($D39:$D42,F39:F42,$L39:$L42,N39:N42)</f>
        <v>-2.0824496611934196E-3</v>
      </c>
      <c r="AA39" s="110">
        <f>bdrateOld($D39:$D42,G39:G42,$L39:$L42,O39:O42)</f>
        <v>1.583848337177729E-3</v>
      </c>
    </row>
    <row r="40" spans="1:27" x14ac:dyDescent="0.25">
      <c r="A40" s="76"/>
      <c r="B40" s="77"/>
      <c r="C40" s="76">
        <v>32</v>
      </c>
      <c r="D40" s="78">
        <f>Reference!B38</f>
        <v>11599.974399999999</v>
      </c>
      <c r="E40" s="79">
        <f>Reference!C38</f>
        <v>40.650100000000002</v>
      </c>
      <c r="F40" s="79">
        <f>Reference!D38</f>
        <v>44.457099999999997</v>
      </c>
      <c r="G40" s="79">
        <f>Reference!E38</f>
        <v>45.218400000000003</v>
      </c>
      <c r="H40" s="79">
        <f>Reference!F38</f>
        <v>22386.474999999999</v>
      </c>
      <c r="I40" s="79">
        <f>Reference!G38</f>
        <v>9.0299999999999994</v>
      </c>
      <c r="J40" s="92">
        <f t="shared" si="7"/>
        <v>6.2184652777777778</v>
      </c>
      <c r="L40" s="78">
        <f>Test!B38</f>
        <v>11618.380800000001</v>
      </c>
      <c r="M40" s="79">
        <f>Test!C38</f>
        <v>40.642600000000002</v>
      </c>
      <c r="N40" s="79">
        <f>Test!D38</f>
        <v>44.447099999999999</v>
      </c>
      <c r="O40" s="79">
        <f>Test!E38</f>
        <v>45.216099999999997</v>
      </c>
      <c r="P40" s="79">
        <f>Test!F38</f>
        <v>18588.550999999999</v>
      </c>
      <c r="Q40" s="79">
        <f>Test!G38</f>
        <v>11.343</v>
      </c>
      <c r="R40" s="79">
        <f t="shared" si="8"/>
        <v>5.1634863888888889</v>
      </c>
      <c r="S40" s="78">
        <f t="shared" si="9"/>
        <v>0.83034738608914538</v>
      </c>
      <c r="T40" s="79">
        <f t="shared" si="10"/>
        <v>1.2561461794019935</v>
      </c>
      <c r="U40" s="99"/>
      <c r="V40" s="100"/>
      <c r="W40" s="100"/>
      <c r="X40" s="100"/>
      <c r="Y40" s="106"/>
      <c r="Z40" s="100"/>
      <c r="AA40" s="101"/>
    </row>
    <row r="41" spans="1:27" x14ac:dyDescent="0.25">
      <c r="A41" s="76"/>
      <c r="B41" s="77"/>
      <c r="C41" s="76">
        <v>38</v>
      </c>
      <c r="D41" s="78">
        <f>Reference!B39</f>
        <v>6433.0752000000002</v>
      </c>
      <c r="E41" s="79">
        <f>Reference!C39</f>
        <v>38.646500000000003</v>
      </c>
      <c r="F41" s="79">
        <f>Reference!D39</f>
        <v>43.451300000000003</v>
      </c>
      <c r="G41" s="79">
        <f>Reference!E39</f>
        <v>43.488599999999998</v>
      </c>
      <c r="H41" s="79">
        <f>Reference!F39</f>
        <v>14930.368</v>
      </c>
      <c r="I41" s="79">
        <f>Reference!G39</f>
        <v>7.07</v>
      </c>
      <c r="J41" s="92">
        <f t="shared" si="7"/>
        <v>4.1473244444444441</v>
      </c>
      <c r="L41" s="78">
        <f>Test!B39</f>
        <v>6435.7056000000002</v>
      </c>
      <c r="M41" s="79">
        <f>Test!C39</f>
        <v>38.637</v>
      </c>
      <c r="N41" s="79">
        <f>Test!D39</f>
        <v>43.461500000000001</v>
      </c>
      <c r="O41" s="79">
        <f>Test!E39</f>
        <v>43.478700000000003</v>
      </c>
      <c r="P41" s="79">
        <f>Test!F39</f>
        <v>13009.021000000001</v>
      </c>
      <c r="Q41" s="79">
        <f>Test!G39</f>
        <v>7.6929999999999996</v>
      </c>
      <c r="R41" s="79">
        <f t="shared" si="8"/>
        <v>3.6136169444444448</v>
      </c>
      <c r="S41" s="78">
        <f t="shared" si="9"/>
        <v>0.87131281693793483</v>
      </c>
      <c r="T41" s="79">
        <f t="shared" si="10"/>
        <v>1.088118811881188</v>
      </c>
      <c r="U41" s="99"/>
      <c r="V41" s="100"/>
      <c r="W41" s="100"/>
      <c r="X41" s="100"/>
      <c r="Y41" s="106"/>
      <c r="Z41" s="100"/>
      <c r="AA41" s="101"/>
    </row>
    <row r="42" spans="1:27" x14ac:dyDescent="0.25">
      <c r="A42" s="76"/>
      <c r="B42" s="80"/>
      <c r="C42" s="81">
        <v>45</v>
      </c>
      <c r="D42" s="82">
        <f>Reference!B40</f>
        <v>3281.9456</v>
      </c>
      <c r="E42" s="83">
        <f>Reference!C40</f>
        <v>36.2714</v>
      </c>
      <c r="F42" s="83">
        <f>Reference!D40</f>
        <v>42.055500000000002</v>
      </c>
      <c r="G42" s="83">
        <f>Reference!E40</f>
        <v>41.349200000000003</v>
      </c>
      <c r="H42" s="83">
        <f>Reference!F40</f>
        <v>8934.82</v>
      </c>
      <c r="I42" s="83">
        <f>Reference!G40</f>
        <v>6.5449999999999999</v>
      </c>
      <c r="J42" s="93">
        <f t="shared" si="7"/>
        <v>2.4818944444444444</v>
      </c>
      <c r="L42" s="82">
        <f>Test!B40</f>
        <v>3276.1408000000001</v>
      </c>
      <c r="M42" s="83">
        <f>Test!C40</f>
        <v>36.259599999999999</v>
      </c>
      <c r="N42" s="83">
        <f>Test!D40</f>
        <v>42.074300000000001</v>
      </c>
      <c r="O42" s="83">
        <f>Test!E40</f>
        <v>41.357599999999998</v>
      </c>
      <c r="P42" s="83">
        <f>Test!F40</f>
        <v>7982.0060000000003</v>
      </c>
      <c r="Q42" s="83">
        <f>Test!G40</f>
        <v>7.5339999999999998</v>
      </c>
      <c r="R42" s="83">
        <f t="shared" si="8"/>
        <v>2.2172238888888889</v>
      </c>
      <c r="S42" s="78">
        <f t="shared" si="9"/>
        <v>0.89335946331319493</v>
      </c>
      <c r="T42" s="79">
        <f t="shared" si="10"/>
        <v>1.1511077158135981</v>
      </c>
      <c r="U42" s="99"/>
      <c r="V42" s="102"/>
      <c r="W42" s="102"/>
      <c r="X42" s="102"/>
      <c r="Y42" s="107"/>
      <c r="Z42" s="102"/>
      <c r="AA42" s="103"/>
    </row>
    <row r="43" spans="1:27" x14ac:dyDescent="0.25">
      <c r="A43" s="76"/>
      <c r="B43" s="69" t="s">
        <v>75</v>
      </c>
      <c r="C43" s="73">
        <v>27</v>
      </c>
      <c r="D43" s="11">
        <v>1096.1472000000001</v>
      </c>
      <c r="E43" s="12">
        <v>42.6828</v>
      </c>
      <c r="F43" s="75">
        <f>Reference!D41</f>
        <v>46.9116</v>
      </c>
      <c r="G43" s="75">
        <f>Reference!E41</f>
        <v>47.778799999999997</v>
      </c>
      <c r="H43" s="75">
        <f>Reference!F41</f>
        <v>16751.057000000001</v>
      </c>
      <c r="I43" s="75">
        <f>Reference!G41</f>
        <v>6.0819999999999999</v>
      </c>
      <c r="J43" s="91">
        <f t="shared" si="7"/>
        <v>4.6530713888888888</v>
      </c>
      <c r="L43" s="11">
        <v>1083.4656</v>
      </c>
      <c r="M43" s="12">
        <v>42.661799999999999</v>
      </c>
      <c r="N43" s="75">
        <f>Test!D41</f>
        <v>46.915999999999997</v>
      </c>
      <c r="O43" s="75">
        <f>Test!E41</f>
        <v>47.783299999999997</v>
      </c>
      <c r="P43" s="75">
        <f>Test!F41</f>
        <v>13802.206</v>
      </c>
      <c r="Q43" s="75">
        <f>Test!G41</f>
        <v>5.9429999999999996</v>
      </c>
      <c r="R43" s="75">
        <f t="shared" si="8"/>
        <v>3.8339461111111111</v>
      </c>
      <c r="S43" s="78">
        <f t="shared" si="9"/>
        <v>0.82396030292297373</v>
      </c>
      <c r="T43" s="79">
        <f t="shared" si="10"/>
        <v>0.97714567576455114</v>
      </c>
      <c r="U43" s="99"/>
      <c r="V43" s="97">
        <f>bdrate($D43:$D46,E43:E46,$L43:$L46,M43:M46)</f>
        <v>-1.3897317963443845E-3</v>
      </c>
      <c r="W43" s="97">
        <f>bdrate($D43:$D46,F43:F46,$L43:$L46,N43:N46)</f>
        <v>-5.3951692090213887E-3</v>
      </c>
      <c r="X43" s="97">
        <f>bdrate($D43:$D46,G43:G46,$L43:$L46,O43:O46)</f>
        <v>-3.5929934013898546E-3</v>
      </c>
      <c r="Y43" s="108">
        <f>bdrateOld($D43:$D46,E43:E46,$L43:$L46,M43:M46)</f>
        <v>-2.5500246067614585E-3</v>
      </c>
      <c r="Z43" s="109">
        <f>bdrateOld($D43:$D46,F43:F46,$L43:$L46,N43:N46)</f>
        <v>-6.3291990785060426E-3</v>
      </c>
      <c r="AA43" s="110">
        <f>bdrateOld($D43:$D46,G43:G46,$L43:$L46,O43:O46)</f>
        <v>-3.8454212325779169E-3</v>
      </c>
    </row>
    <row r="44" spans="1:27" x14ac:dyDescent="0.25">
      <c r="A44" s="76"/>
      <c r="B44" s="77"/>
      <c r="C44" s="76">
        <v>32</v>
      </c>
      <c r="D44" s="15">
        <v>551.69759999999997</v>
      </c>
      <c r="E44" s="16">
        <v>41.179400000000001</v>
      </c>
      <c r="F44" s="79">
        <f>Reference!D42</f>
        <v>45.676200000000001</v>
      </c>
      <c r="G44" s="79">
        <f>Reference!E42</f>
        <v>46.351399999999998</v>
      </c>
      <c r="H44" s="79">
        <f>Reference!F42</f>
        <v>12374.62</v>
      </c>
      <c r="I44" s="79">
        <f>Reference!G42</f>
        <v>5.5490000000000004</v>
      </c>
      <c r="J44" s="92">
        <f t="shared" si="7"/>
        <v>3.4373944444444446</v>
      </c>
      <c r="L44" s="15">
        <v>550.98720000000003</v>
      </c>
      <c r="M44" s="16">
        <v>41.157299999999999</v>
      </c>
      <c r="N44" s="79">
        <f>Test!D42</f>
        <v>45.673900000000003</v>
      </c>
      <c r="O44" s="79">
        <f>Test!E42</f>
        <v>46.344099999999997</v>
      </c>
      <c r="P44" s="79">
        <f>Test!F42</f>
        <v>10781.49</v>
      </c>
      <c r="Q44" s="79">
        <f>Test!G42</f>
        <v>5.8360000000000003</v>
      </c>
      <c r="R44" s="79">
        <f t="shared" si="8"/>
        <v>2.9948583333333332</v>
      </c>
      <c r="S44" s="78">
        <f t="shared" si="9"/>
        <v>0.87125826894078351</v>
      </c>
      <c r="T44" s="79">
        <f t="shared" si="10"/>
        <v>1.0517210308163634</v>
      </c>
      <c r="U44" s="99"/>
      <c r="V44" s="100"/>
      <c r="W44" s="100"/>
      <c r="X44" s="100"/>
      <c r="Y44" s="106"/>
      <c r="Z44" s="100"/>
      <c r="AA44" s="101"/>
    </row>
    <row r="45" spans="1:27" x14ac:dyDescent="0.25">
      <c r="A45" s="76"/>
      <c r="B45" s="77"/>
      <c r="C45" s="76">
        <v>38</v>
      </c>
      <c r="D45" s="15">
        <v>292.8048</v>
      </c>
      <c r="E45" s="16">
        <v>39.163800000000002</v>
      </c>
      <c r="F45" s="79">
        <f>Reference!D43</f>
        <v>44.288400000000003</v>
      </c>
      <c r="G45" s="79">
        <f>Reference!E43</f>
        <v>44.827599999999997</v>
      </c>
      <c r="H45" s="79">
        <f>Reference!F43</f>
        <v>8826.2759999999998</v>
      </c>
      <c r="I45" s="79">
        <f>Reference!G43</f>
        <v>5.2430000000000003</v>
      </c>
      <c r="J45" s="92">
        <f t="shared" si="7"/>
        <v>2.4517433333333334</v>
      </c>
      <c r="L45" s="15">
        <v>290.42880000000002</v>
      </c>
      <c r="M45" s="16">
        <v>39.157499999999999</v>
      </c>
      <c r="N45" s="79">
        <f>Test!D43</f>
        <v>44.293399999999998</v>
      </c>
      <c r="O45" s="79">
        <f>Test!E43</f>
        <v>44.815199999999997</v>
      </c>
      <c r="P45" s="79">
        <f>Test!F43</f>
        <v>8070.3890000000001</v>
      </c>
      <c r="Q45" s="79">
        <f>Test!G43</f>
        <v>5.1959999999999997</v>
      </c>
      <c r="R45" s="79">
        <f t="shared" si="8"/>
        <v>2.2417747222222224</v>
      </c>
      <c r="S45" s="78">
        <f t="shared" si="9"/>
        <v>0.91435946485244746</v>
      </c>
      <c r="T45" s="79">
        <f t="shared" si="10"/>
        <v>0.99103566660308973</v>
      </c>
      <c r="U45" s="99"/>
      <c r="V45" s="100"/>
      <c r="W45" s="100"/>
      <c r="X45" s="100"/>
      <c r="Y45" s="106"/>
      <c r="Z45" s="100"/>
      <c r="AA45" s="101"/>
    </row>
    <row r="46" spans="1:27" x14ac:dyDescent="0.25">
      <c r="A46" s="76"/>
      <c r="B46" s="80"/>
      <c r="C46" s="81">
        <v>45</v>
      </c>
      <c r="D46" s="19">
        <v>157.57919999999999</v>
      </c>
      <c r="E46" s="20">
        <v>36.474699999999999</v>
      </c>
      <c r="F46" s="83">
        <f>Reference!D44</f>
        <v>42.518799999999999</v>
      </c>
      <c r="G46" s="83">
        <f>Reference!E44</f>
        <v>42.941099999999999</v>
      </c>
      <c r="H46" s="83">
        <f>Reference!F44</f>
        <v>5796.9269999999997</v>
      </c>
      <c r="I46" s="83">
        <f>Reference!G44</f>
        <v>4.9370000000000003</v>
      </c>
      <c r="J46" s="93">
        <f t="shared" si="7"/>
        <v>1.6102574999999999</v>
      </c>
      <c r="L46" s="19">
        <v>157.04159999999999</v>
      </c>
      <c r="M46" s="20">
        <v>36.468899999999998</v>
      </c>
      <c r="N46" s="83">
        <f>Test!D44</f>
        <v>42.496600000000001</v>
      </c>
      <c r="O46" s="83">
        <f>Test!E44</f>
        <v>42.959200000000003</v>
      </c>
      <c r="P46" s="83">
        <f>Test!F44</f>
        <v>5460.78</v>
      </c>
      <c r="Q46" s="83">
        <f>Test!G44</f>
        <v>5.1130000000000004</v>
      </c>
      <c r="R46" s="83">
        <f t="shared" si="8"/>
        <v>1.5168833333333334</v>
      </c>
      <c r="S46" s="78">
        <f t="shared" si="9"/>
        <v>0.94201289752311868</v>
      </c>
      <c r="T46" s="79">
        <f t="shared" si="10"/>
        <v>1.0356491796637635</v>
      </c>
      <c r="U46" s="99"/>
      <c r="V46" s="102"/>
      <c r="W46" s="102"/>
      <c r="X46" s="102"/>
      <c r="Y46" s="107"/>
      <c r="Z46" s="102"/>
      <c r="AA46" s="103"/>
    </row>
    <row r="47" spans="1:27" x14ac:dyDescent="0.25">
      <c r="A47" s="76"/>
      <c r="B47" s="69" t="s">
        <v>76</v>
      </c>
      <c r="C47" s="73">
        <v>27</v>
      </c>
      <c r="D47" s="74">
        <f>Reference!B45</f>
        <v>16543.328000000001</v>
      </c>
      <c r="E47" s="75">
        <f>Reference!C45</f>
        <v>44.1265</v>
      </c>
      <c r="F47" s="75">
        <f>Reference!D45</f>
        <v>48.393099999999997</v>
      </c>
      <c r="G47" s="75">
        <f>Reference!E45</f>
        <v>48.147599999999997</v>
      </c>
      <c r="H47" s="75">
        <f>Reference!F45</f>
        <v>16261.598</v>
      </c>
      <c r="I47" s="75">
        <f>Reference!G45</f>
        <v>5.6269999999999998</v>
      </c>
      <c r="J47" s="91">
        <f t="shared" si="7"/>
        <v>4.517110555555556</v>
      </c>
      <c r="L47" s="74">
        <f>Test!B45</f>
        <v>16567.820800000001</v>
      </c>
      <c r="M47" s="75">
        <f>Test!C45</f>
        <v>44.1218</v>
      </c>
      <c r="N47" s="75">
        <f>Test!D45</f>
        <v>48.382199999999997</v>
      </c>
      <c r="O47" s="75">
        <f>Test!E45</f>
        <v>48.134300000000003</v>
      </c>
      <c r="P47" s="75">
        <f>Test!F45</f>
        <v>11929.154</v>
      </c>
      <c r="Q47" s="75">
        <f>Test!G45</f>
        <v>5.585</v>
      </c>
      <c r="R47" s="75">
        <f t="shared" si="8"/>
        <v>3.3136538888888891</v>
      </c>
      <c r="S47" s="78">
        <f t="shared" si="9"/>
        <v>0.73357821291609848</v>
      </c>
      <c r="T47" s="79">
        <f t="shared" si="10"/>
        <v>0.9925359872045495</v>
      </c>
      <c r="U47" s="99"/>
      <c r="V47" s="97">
        <f>bdrate($D47:$D50,E47:E50,$L47:$L50,M47:M50)</f>
        <v>3.033618565874141E-3</v>
      </c>
      <c r="W47" s="97">
        <f>bdrate($D47:$D50,F47:F50,$L47:$L50,N47:N50)</f>
        <v>1.2437699984304551E-3</v>
      </c>
      <c r="X47" s="98">
        <f>bdrate($D47:$D50,G47:G50,$L47:$L50,O47:O50)</f>
        <v>5.7559545757370767E-3</v>
      </c>
      <c r="Y47" s="105">
        <f>bdrateOld($D47:$D50,E47:E50,$L47:$L50,M47:M50)</f>
        <v>3.0069104817502801E-3</v>
      </c>
      <c r="Z47" s="97">
        <f>bdrateOld($D47:$D50,F47:F50,$L47:$L50,N47:N50)</f>
        <v>1.1855173727666202E-3</v>
      </c>
      <c r="AA47" s="98">
        <f>bdrateOld($D47:$D50,G47:G50,$L47:$L50,O47:O50)</f>
        <v>5.462144741541497E-3</v>
      </c>
    </row>
    <row r="48" spans="1:27" x14ac:dyDescent="0.25">
      <c r="A48" s="76"/>
      <c r="B48" s="77"/>
      <c r="C48" s="76">
        <v>32</v>
      </c>
      <c r="D48" s="78">
        <f>Reference!B46</f>
        <v>11480.947200000001</v>
      </c>
      <c r="E48" s="79">
        <f>Reference!C46</f>
        <v>42.376199999999997</v>
      </c>
      <c r="F48" s="79">
        <f>Reference!D46</f>
        <v>47.247100000000003</v>
      </c>
      <c r="G48" s="79">
        <f>Reference!E46</f>
        <v>46.526800000000001</v>
      </c>
      <c r="H48" s="79">
        <f>Reference!F46</f>
        <v>12554.61</v>
      </c>
      <c r="I48" s="79">
        <f>Reference!G46</f>
        <v>5.53</v>
      </c>
      <c r="J48" s="92">
        <f t="shared" ref="J48:J71" si="11">H48/3600</f>
        <v>3.4873916666666669</v>
      </c>
      <c r="L48" s="78">
        <f>Test!B46</f>
        <v>11498.208000000001</v>
      </c>
      <c r="M48" s="79">
        <f>Test!C46</f>
        <v>42.3645</v>
      </c>
      <c r="N48" s="79">
        <f>Test!D46</f>
        <v>47.239800000000002</v>
      </c>
      <c r="O48" s="79">
        <f>Test!E46</f>
        <v>46.496299999999998</v>
      </c>
      <c r="P48" s="79">
        <f>Test!F46</f>
        <v>9547.0689999999995</v>
      </c>
      <c r="Q48" s="79">
        <f>Test!G46</f>
        <v>5.5119999999999996</v>
      </c>
      <c r="R48" s="79">
        <f t="shared" ref="R48:R71" si="12">P48/3600</f>
        <v>2.6519636111111109</v>
      </c>
      <c r="S48" s="78">
        <f t="shared" ref="S48:S71" si="13">P48/H48</f>
        <v>0.76044329533135635</v>
      </c>
      <c r="T48" s="79">
        <f t="shared" ref="T48:T71" si="14">Q48/I48</f>
        <v>0.99674502712477386</v>
      </c>
      <c r="U48" s="99"/>
      <c r="V48" s="100"/>
      <c r="W48" s="100"/>
      <c r="X48" s="101"/>
      <c r="Y48" s="106"/>
      <c r="Z48" s="100"/>
      <c r="AA48" s="101"/>
    </row>
    <row r="49" spans="1:27" x14ac:dyDescent="0.25">
      <c r="A49" s="76"/>
      <c r="B49" s="77"/>
      <c r="C49" s="76">
        <v>38</v>
      </c>
      <c r="D49" s="78">
        <f>Reference!B47</f>
        <v>7450.1247999999996</v>
      </c>
      <c r="E49" s="79">
        <f>Reference!C47</f>
        <v>39.9724</v>
      </c>
      <c r="F49" s="79">
        <f>Reference!D47</f>
        <v>46.021299999999997</v>
      </c>
      <c r="G49" s="79">
        <f>Reference!E47</f>
        <v>44.681800000000003</v>
      </c>
      <c r="H49" s="79">
        <f>Reference!F47</f>
        <v>9212.7240000000002</v>
      </c>
      <c r="I49" s="79">
        <f>Reference!G47</f>
        <v>4.9809999999999999</v>
      </c>
      <c r="J49" s="92">
        <f t="shared" si="11"/>
        <v>2.5590899999999999</v>
      </c>
      <c r="L49" s="78">
        <f>Test!B47</f>
        <v>7461.1455999999998</v>
      </c>
      <c r="M49" s="79">
        <f>Test!C47</f>
        <v>39.9604</v>
      </c>
      <c r="N49" s="79">
        <f>Test!D47</f>
        <v>46.0244</v>
      </c>
      <c r="O49" s="79">
        <f>Test!E47</f>
        <v>44.671599999999998</v>
      </c>
      <c r="P49" s="79">
        <f>Test!F47</f>
        <v>7702.8050000000003</v>
      </c>
      <c r="Q49" s="79">
        <f>Test!G47</f>
        <v>4.899</v>
      </c>
      <c r="R49" s="79">
        <f t="shared" si="12"/>
        <v>2.1396680555555556</v>
      </c>
      <c r="S49" s="78">
        <f t="shared" si="13"/>
        <v>0.83610504341604075</v>
      </c>
      <c r="T49" s="79">
        <f t="shared" si="14"/>
        <v>0.98353744228066653</v>
      </c>
      <c r="U49" s="99"/>
      <c r="V49" s="100"/>
      <c r="W49" s="100"/>
      <c r="X49" s="101"/>
      <c r="Y49" s="106"/>
      <c r="Z49" s="100"/>
      <c r="AA49" s="101"/>
    </row>
    <row r="50" spans="1:27" x14ac:dyDescent="0.25">
      <c r="A50" s="81"/>
      <c r="B50" s="80"/>
      <c r="C50" s="81">
        <v>45</v>
      </c>
      <c r="D50" s="82">
        <f>Reference!B48</f>
        <v>4334.9440000000004</v>
      </c>
      <c r="E50" s="83">
        <f>Reference!C48</f>
        <v>36.746699999999997</v>
      </c>
      <c r="F50" s="83">
        <f>Reference!D48</f>
        <v>44.255899999999997</v>
      </c>
      <c r="G50" s="83">
        <f>Reference!E48</f>
        <v>42.363999999999997</v>
      </c>
      <c r="H50" s="83">
        <f>Reference!F48</f>
        <v>6196.9610000000002</v>
      </c>
      <c r="I50" s="83">
        <f>Reference!G48</f>
        <v>4.5759999999999996</v>
      </c>
      <c r="J50" s="93">
        <f t="shared" si="11"/>
        <v>1.7213780555555556</v>
      </c>
      <c r="L50" s="82">
        <f>Test!B48</f>
        <v>4334.7583999999997</v>
      </c>
      <c r="M50" s="83">
        <f>Test!C48</f>
        <v>36.743000000000002</v>
      </c>
      <c r="N50" s="83">
        <f>Test!D48</f>
        <v>44.2682</v>
      </c>
      <c r="O50" s="83">
        <f>Test!E48</f>
        <v>42.3371</v>
      </c>
      <c r="P50" s="83">
        <f>Test!F48</f>
        <v>5770.2479999999996</v>
      </c>
      <c r="Q50" s="83">
        <f>Test!G48</f>
        <v>4.6349999999999998</v>
      </c>
      <c r="R50" s="83">
        <f t="shared" si="12"/>
        <v>1.6028466666666665</v>
      </c>
      <c r="S50" s="82">
        <f t="shared" si="13"/>
        <v>0.93114157084416049</v>
      </c>
      <c r="T50" s="83">
        <f t="shared" si="14"/>
        <v>1.0128933566433567</v>
      </c>
      <c r="U50" s="104"/>
      <c r="V50" s="102"/>
      <c r="W50" s="102"/>
      <c r="X50" s="103"/>
      <c r="Y50" s="107"/>
      <c r="Z50" s="102"/>
      <c r="AA50" s="103"/>
    </row>
    <row r="51" spans="1:27" ht="12" x14ac:dyDescent="0.25">
      <c r="A51" s="72" t="s">
        <v>77</v>
      </c>
      <c r="B51" s="73" t="s">
        <v>57</v>
      </c>
      <c r="C51" s="73">
        <v>43</v>
      </c>
      <c r="D51" s="74">
        <f>Reference!B49</f>
        <v>0</v>
      </c>
      <c r="E51" s="75">
        <f>Reference!C49</f>
        <v>0</v>
      </c>
      <c r="F51" s="75">
        <f>Reference!D49</f>
        <v>0</v>
      </c>
      <c r="G51" s="75">
        <f>Reference!E49</f>
        <v>0</v>
      </c>
      <c r="H51" s="75">
        <f>Reference!F49</f>
        <v>0</v>
      </c>
      <c r="I51" s="75">
        <f>Reference!G49</f>
        <v>0</v>
      </c>
      <c r="J51" s="91">
        <f t="shared" si="11"/>
        <v>0</v>
      </c>
      <c r="L51" s="74">
        <f>Test!B49</f>
        <v>0</v>
      </c>
      <c r="M51" s="75">
        <f>Test!C49</f>
        <v>0</v>
      </c>
      <c r="N51" s="75">
        <f>Test!D49</f>
        <v>0</v>
      </c>
      <c r="O51" s="75">
        <f>Test!E49</f>
        <v>0</v>
      </c>
      <c r="P51" s="75">
        <f>Test!F49</f>
        <v>0</v>
      </c>
      <c r="Q51" s="75">
        <f>Test!G49</f>
        <v>0</v>
      </c>
      <c r="R51" s="91">
        <f t="shared" si="12"/>
        <v>0</v>
      </c>
      <c r="S51" s="74" t="e">
        <f t="shared" si="13"/>
        <v>#DIV/0!</v>
      </c>
      <c r="T51" s="75" t="e">
        <f t="shared" si="14"/>
        <v>#DIV/0!</v>
      </c>
      <c r="U51" s="96"/>
      <c r="V51" s="105" t="e">
        <f>bdrate($D51:$D54,E51:E54,$L51:$L54,M51:M54)</f>
        <v>#VALUE!</v>
      </c>
      <c r="W51" s="97" t="e">
        <f>bdrate($D51:$D54,F51:F54,$L51:$L54,N51:N54)</f>
        <v>#VALUE!</v>
      </c>
      <c r="X51" s="97" t="e">
        <f>bdrate($D51:$D54,G51:G54,$L51:$L54,O51:O54)</f>
        <v>#VALUE!</v>
      </c>
      <c r="Y51" s="108" t="e">
        <f>bdrateOld($D51:$D54,E51:E54,$L51:$L54,M51:M54)</f>
        <v>#VALUE!</v>
      </c>
      <c r="Z51" s="109" t="e">
        <f>bdrateOld($D51:$D54,F51:F54,$L51:$L54,N51:N54)</f>
        <v>#VALUE!</v>
      </c>
      <c r="AA51" s="110" t="e">
        <f>bdrateOld($D51:$D54,G51:G54,$L51:$L54,O51:O54)</f>
        <v>#VALUE!</v>
      </c>
    </row>
    <row r="52" spans="1:27" x14ac:dyDescent="0.25">
      <c r="A52" s="76" t="s">
        <v>73</v>
      </c>
      <c r="B52" s="76"/>
      <c r="C52" s="76">
        <v>48</v>
      </c>
      <c r="D52" s="78">
        <f>Reference!B50</f>
        <v>0</v>
      </c>
      <c r="E52" s="79">
        <f>Reference!C50</f>
        <v>0</v>
      </c>
      <c r="F52" s="79">
        <f>Reference!D50</f>
        <v>0</v>
      </c>
      <c r="G52" s="79">
        <f>Reference!E50</f>
        <v>0</v>
      </c>
      <c r="H52" s="79">
        <f>Reference!F50</f>
        <v>0</v>
      </c>
      <c r="I52" s="79">
        <f>Reference!G50</f>
        <v>0</v>
      </c>
      <c r="J52" s="92">
        <f t="shared" si="11"/>
        <v>0</v>
      </c>
      <c r="L52" s="78">
        <f>Test!B50</f>
        <v>0</v>
      </c>
      <c r="M52" s="79">
        <f>Test!C50</f>
        <v>0</v>
      </c>
      <c r="N52" s="79">
        <f>Test!D50</f>
        <v>0</v>
      </c>
      <c r="O52" s="79">
        <f>Test!E50</f>
        <v>0</v>
      </c>
      <c r="P52" s="79">
        <f>Test!F50</f>
        <v>0</v>
      </c>
      <c r="Q52" s="79">
        <f>Test!G50</f>
        <v>0</v>
      </c>
      <c r="R52" s="92">
        <f t="shared" si="12"/>
        <v>0</v>
      </c>
      <c r="S52" s="78" t="e">
        <f t="shared" si="13"/>
        <v>#DIV/0!</v>
      </c>
      <c r="T52" s="79" t="e">
        <f t="shared" si="14"/>
        <v>#DIV/0!</v>
      </c>
      <c r="U52" s="99"/>
      <c r="V52" s="106"/>
      <c r="W52" s="100"/>
      <c r="X52" s="100"/>
      <c r="Y52" s="106"/>
      <c r="Z52" s="100"/>
      <c r="AA52" s="101"/>
    </row>
    <row r="53" spans="1:27" x14ac:dyDescent="0.25">
      <c r="A53" s="76"/>
      <c r="B53" s="76"/>
      <c r="C53" s="76">
        <v>54</v>
      </c>
      <c r="D53" s="78">
        <f>Reference!B51</f>
        <v>0</v>
      </c>
      <c r="E53" s="79">
        <f>Reference!C51</f>
        <v>0</v>
      </c>
      <c r="F53" s="79">
        <f>Reference!D51</f>
        <v>0</v>
      </c>
      <c r="G53" s="79">
        <f>Reference!E51</f>
        <v>0</v>
      </c>
      <c r="H53" s="79">
        <f>Reference!F51</f>
        <v>0</v>
      </c>
      <c r="I53" s="79">
        <f>Reference!G51</f>
        <v>0</v>
      </c>
      <c r="J53" s="92">
        <f t="shared" si="11"/>
        <v>0</v>
      </c>
      <c r="L53" s="78">
        <f>Test!B51</f>
        <v>0</v>
      </c>
      <c r="M53" s="79">
        <f>Test!C51</f>
        <v>0</v>
      </c>
      <c r="N53" s="79">
        <f>Test!D51</f>
        <v>0</v>
      </c>
      <c r="O53" s="79">
        <f>Test!E51</f>
        <v>0</v>
      </c>
      <c r="P53" s="79">
        <f>Test!F51</f>
        <v>0</v>
      </c>
      <c r="Q53" s="79">
        <f>Test!G51</f>
        <v>0</v>
      </c>
      <c r="R53" s="92">
        <f t="shared" si="12"/>
        <v>0</v>
      </c>
      <c r="S53" s="78" t="e">
        <f t="shared" si="13"/>
        <v>#DIV/0!</v>
      </c>
      <c r="T53" s="79" t="e">
        <f t="shared" si="14"/>
        <v>#DIV/0!</v>
      </c>
      <c r="U53" s="99"/>
      <c r="V53" s="106"/>
      <c r="W53" s="100"/>
      <c r="X53" s="100"/>
      <c r="Y53" s="106"/>
      <c r="Z53" s="100"/>
      <c r="AA53" s="101"/>
    </row>
    <row r="54" spans="1:27" x14ac:dyDescent="0.25">
      <c r="A54" s="76"/>
      <c r="B54" s="81"/>
      <c r="C54" s="81">
        <v>61</v>
      </c>
      <c r="D54" s="82">
        <f>Reference!B52</f>
        <v>0</v>
      </c>
      <c r="E54" s="83">
        <f>Reference!C52</f>
        <v>0</v>
      </c>
      <c r="F54" s="83">
        <f>Reference!D52</f>
        <v>0</v>
      </c>
      <c r="G54" s="83">
        <f>Reference!E52</f>
        <v>0</v>
      </c>
      <c r="H54" s="83">
        <f>Reference!F52</f>
        <v>0</v>
      </c>
      <c r="I54" s="83">
        <f>Reference!G52</f>
        <v>0</v>
      </c>
      <c r="J54" s="93">
        <f t="shared" si="11"/>
        <v>0</v>
      </c>
      <c r="L54" s="82">
        <f>Test!B52</f>
        <v>0</v>
      </c>
      <c r="M54" s="83">
        <f>Test!C52</f>
        <v>0</v>
      </c>
      <c r="N54" s="83">
        <f>Test!D52</f>
        <v>0</v>
      </c>
      <c r="O54" s="83">
        <f>Test!E52</f>
        <v>0</v>
      </c>
      <c r="P54" s="83">
        <f>Test!F52</f>
        <v>0</v>
      </c>
      <c r="Q54" s="83">
        <f>Test!G52</f>
        <v>0</v>
      </c>
      <c r="R54" s="93">
        <f t="shared" si="12"/>
        <v>0</v>
      </c>
      <c r="S54" s="78" t="e">
        <f t="shared" si="13"/>
        <v>#DIV/0!</v>
      </c>
      <c r="T54" s="79" t="e">
        <f t="shared" si="14"/>
        <v>#DIV/0!</v>
      </c>
      <c r="U54" s="99"/>
      <c r="V54" s="107"/>
      <c r="W54" s="102"/>
      <c r="X54" s="102"/>
      <c r="Y54" s="107"/>
      <c r="Z54" s="102"/>
      <c r="AA54" s="103"/>
    </row>
    <row r="55" spans="1:27" x14ac:dyDescent="0.25">
      <c r="A55" s="76"/>
      <c r="B55" s="73" t="s">
        <v>58</v>
      </c>
      <c r="C55" s="73">
        <v>43</v>
      </c>
      <c r="D55" s="74">
        <f>Reference!B53</f>
        <v>0</v>
      </c>
      <c r="E55" s="75">
        <f>Reference!C53</f>
        <v>0</v>
      </c>
      <c r="F55" s="75">
        <f>Reference!D53</f>
        <v>0</v>
      </c>
      <c r="G55" s="75">
        <f>Reference!E53</f>
        <v>0</v>
      </c>
      <c r="H55" s="75">
        <f>Reference!F53</f>
        <v>0</v>
      </c>
      <c r="I55" s="75">
        <f>Reference!G53</f>
        <v>0</v>
      </c>
      <c r="J55" s="91">
        <f t="shared" si="11"/>
        <v>0</v>
      </c>
      <c r="L55" s="74">
        <f>Test!B53</f>
        <v>0</v>
      </c>
      <c r="M55" s="75">
        <f>Test!C53</f>
        <v>0</v>
      </c>
      <c r="N55" s="75">
        <f>Test!D53</f>
        <v>0</v>
      </c>
      <c r="O55" s="75">
        <f>Test!E53</f>
        <v>0</v>
      </c>
      <c r="P55" s="75">
        <f>Test!F53</f>
        <v>0</v>
      </c>
      <c r="Q55" s="75">
        <f>Test!G53</f>
        <v>0</v>
      </c>
      <c r="R55" s="91">
        <f t="shared" si="12"/>
        <v>0</v>
      </c>
      <c r="S55" s="78" t="e">
        <f t="shared" si="13"/>
        <v>#DIV/0!</v>
      </c>
      <c r="T55" s="79" t="e">
        <f t="shared" si="14"/>
        <v>#DIV/0!</v>
      </c>
      <c r="U55" s="99"/>
      <c r="V55" s="105" t="e">
        <f>bdrate($D55:$D58,E55:E58,$L55:$L58,M55:M58)</f>
        <v>#VALUE!</v>
      </c>
      <c r="W55" s="97" t="e">
        <f>bdrate($D55:$D58,F55:F58,$L55:$L58,N55:N58)</f>
        <v>#VALUE!</v>
      </c>
      <c r="X55" s="97" t="e">
        <f>bdrate($D55:$D58,G55:G58,$L55:$L58,O55:O58)</f>
        <v>#VALUE!</v>
      </c>
      <c r="Y55" s="108" t="e">
        <f>bdrateOld($D55:$D58,E55:E58,$L55:$L58,M55:M58)</f>
        <v>#VALUE!</v>
      </c>
      <c r="Z55" s="109" t="e">
        <f>bdrateOld($D55:$D58,F55:F58,$L55:$L58,N55:N58)</f>
        <v>#VALUE!</v>
      </c>
      <c r="AA55" s="110" t="e">
        <f>bdrateOld($D55:$D58,G55:G58,$L55:$L58,O55:O58)</f>
        <v>#VALUE!</v>
      </c>
    </row>
    <row r="56" spans="1:27" x14ac:dyDescent="0.25">
      <c r="A56" s="76"/>
      <c r="B56" s="76"/>
      <c r="C56" s="76">
        <v>48</v>
      </c>
      <c r="D56" s="78">
        <f>Reference!B54</f>
        <v>0</v>
      </c>
      <c r="E56" s="79">
        <f>Reference!C54</f>
        <v>0</v>
      </c>
      <c r="F56" s="79">
        <f>Reference!D54</f>
        <v>0</v>
      </c>
      <c r="G56" s="79">
        <f>Reference!E54</f>
        <v>0</v>
      </c>
      <c r="H56" s="79">
        <f>Reference!F54</f>
        <v>0</v>
      </c>
      <c r="I56" s="79">
        <f>Reference!G54</f>
        <v>0</v>
      </c>
      <c r="J56" s="92">
        <f t="shared" si="11"/>
        <v>0</v>
      </c>
      <c r="L56" s="78">
        <f>Test!B54</f>
        <v>0</v>
      </c>
      <c r="M56" s="79">
        <f>Test!C54</f>
        <v>0</v>
      </c>
      <c r="N56" s="79">
        <f>Test!D54</f>
        <v>0</v>
      </c>
      <c r="O56" s="79">
        <f>Test!E54</f>
        <v>0</v>
      </c>
      <c r="P56" s="79">
        <f>Test!F54</f>
        <v>0</v>
      </c>
      <c r="Q56" s="79">
        <f>Test!G54</f>
        <v>0</v>
      </c>
      <c r="R56" s="92">
        <f t="shared" si="12"/>
        <v>0</v>
      </c>
      <c r="S56" s="78" t="e">
        <f t="shared" si="13"/>
        <v>#DIV/0!</v>
      </c>
      <c r="T56" s="79" t="e">
        <f t="shared" si="14"/>
        <v>#DIV/0!</v>
      </c>
      <c r="U56" s="99"/>
      <c r="V56" s="106"/>
      <c r="W56" s="100"/>
      <c r="X56" s="100"/>
      <c r="Y56" s="106"/>
      <c r="Z56" s="100"/>
      <c r="AA56" s="101"/>
    </row>
    <row r="57" spans="1:27" x14ac:dyDescent="0.25">
      <c r="A57" s="76"/>
      <c r="B57" s="76"/>
      <c r="C57" s="76">
        <v>54</v>
      </c>
      <c r="D57" s="78">
        <f>Reference!B55</f>
        <v>0</v>
      </c>
      <c r="E57" s="79">
        <f>Reference!C55</f>
        <v>0</v>
      </c>
      <c r="F57" s="79">
        <f>Reference!D55</f>
        <v>0</v>
      </c>
      <c r="G57" s="79">
        <f>Reference!E55</f>
        <v>0</v>
      </c>
      <c r="H57" s="79">
        <f>Reference!F55</f>
        <v>0</v>
      </c>
      <c r="I57" s="79">
        <f>Reference!G55</f>
        <v>0</v>
      </c>
      <c r="J57" s="92">
        <f t="shared" si="11"/>
        <v>0</v>
      </c>
      <c r="L57" s="78">
        <f>Test!B55</f>
        <v>0</v>
      </c>
      <c r="M57" s="79">
        <f>Test!C55</f>
        <v>0</v>
      </c>
      <c r="N57" s="79">
        <f>Test!D55</f>
        <v>0</v>
      </c>
      <c r="O57" s="79">
        <f>Test!E55</f>
        <v>0</v>
      </c>
      <c r="P57" s="79">
        <f>Test!F55</f>
        <v>0</v>
      </c>
      <c r="Q57" s="79">
        <f>Test!G55</f>
        <v>0</v>
      </c>
      <c r="R57" s="92">
        <f t="shared" si="12"/>
        <v>0</v>
      </c>
      <c r="S57" s="78" t="e">
        <f t="shared" si="13"/>
        <v>#DIV/0!</v>
      </c>
      <c r="T57" s="79" t="e">
        <f t="shared" si="14"/>
        <v>#DIV/0!</v>
      </c>
      <c r="U57" s="99"/>
      <c r="V57" s="106"/>
      <c r="W57" s="100"/>
      <c r="X57" s="100"/>
      <c r="Y57" s="106"/>
      <c r="Z57" s="100"/>
      <c r="AA57" s="101"/>
    </row>
    <row r="58" spans="1:27" x14ac:dyDescent="0.25">
      <c r="A58" s="81"/>
      <c r="B58" s="81"/>
      <c r="C58" s="81">
        <v>61</v>
      </c>
      <c r="D58" s="82">
        <f>Reference!B56</f>
        <v>0</v>
      </c>
      <c r="E58" s="83">
        <f>Reference!C56</f>
        <v>0</v>
      </c>
      <c r="F58" s="83">
        <f>Reference!D56</f>
        <v>0</v>
      </c>
      <c r="G58" s="83">
        <f>Reference!E56</f>
        <v>0</v>
      </c>
      <c r="H58" s="83">
        <f>Reference!F56</f>
        <v>0</v>
      </c>
      <c r="I58" s="83">
        <f>Reference!G56</f>
        <v>0</v>
      </c>
      <c r="J58" s="93">
        <f t="shared" si="11"/>
        <v>0</v>
      </c>
      <c r="L58" s="82">
        <f>Test!B56</f>
        <v>0</v>
      </c>
      <c r="M58" s="83">
        <f>Test!C56</f>
        <v>0</v>
      </c>
      <c r="N58" s="83">
        <f>Test!D56</f>
        <v>0</v>
      </c>
      <c r="O58" s="83">
        <f>Test!E56</f>
        <v>0</v>
      </c>
      <c r="P58" s="83">
        <f>Test!F56</f>
        <v>0</v>
      </c>
      <c r="Q58" s="83">
        <f>Test!G56</f>
        <v>0</v>
      </c>
      <c r="R58" s="93">
        <f t="shared" si="12"/>
        <v>0</v>
      </c>
      <c r="S58" s="82" t="e">
        <f t="shared" si="13"/>
        <v>#DIV/0!</v>
      </c>
      <c r="T58" s="83" t="e">
        <f t="shared" si="14"/>
        <v>#DIV/0!</v>
      </c>
      <c r="U58" s="104"/>
      <c r="V58" s="107"/>
      <c r="W58" s="102"/>
      <c r="X58" s="102"/>
      <c r="Y58" s="107"/>
      <c r="Z58" s="102"/>
      <c r="AA58" s="103"/>
    </row>
    <row r="59" spans="1:27" ht="12" x14ac:dyDescent="0.25">
      <c r="A59" s="88" t="s">
        <v>78</v>
      </c>
      <c r="B59" s="69" t="s">
        <v>79</v>
      </c>
      <c r="C59" s="73">
        <v>27</v>
      </c>
      <c r="D59" s="74">
        <f>Reference!B57</f>
        <v>0</v>
      </c>
      <c r="E59" s="75">
        <f>Reference!C57</f>
        <v>0</v>
      </c>
      <c r="F59" s="75">
        <f>Reference!D57</f>
        <v>0</v>
      </c>
      <c r="G59" s="75">
        <f>Reference!E57</f>
        <v>0</v>
      </c>
      <c r="H59" s="75">
        <f>Reference!F57</f>
        <v>0</v>
      </c>
      <c r="I59" s="75">
        <f>Reference!G57</f>
        <v>0</v>
      </c>
      <c r="J59" s="91">
        <f t="shared" si="11"/>
        <v>0</v>
      </c>
      <c r="L59" s="74">
        <f>Test!B57</f>
        <v>0</v>
      </c>
      <c r="M59" s="75">
        <f>Test!C57</f>
        <v>0</v>
      </c>
      <c r="N59" s="75">
        <f>Test!D57</f>
        <v>0</v>
      </c>
      <c r="O59" s="75">
        <f>Test!E57</f>
        <v>0</v>
      </c>
      <c r="P59" s="75">
        <f>Test!F57</f>
        <v>0</v>
      </c>
      <c r="Q59" s="75">
        <f>Test!G57</f>
        <v>0</v>
      </c>
      <c r="R59" s="75">
        <f t="shared" si="12"/>
        <v>0</v>
      </c>
      <c r="S59" s="74" t="e">
        <f t="shared" si="13"/>
        <v>#DIV/0!</v>
      </c>
      <c r="T59" s="75" t="e">
        <f t="shared" si="14"/>
        <v>#DIV/0!</v>
      </c>
      <c r="U59" s="96"/>
      <c r="V59" s="97" t="e">
        <f>bdrate($D59:$D62,E59:E62,$L59:$L62,M59:M62)</f>
        <v>#VALUE!</v>
      </c>
      <c r="W59" s="97" t="e">
        <f>bdrate($D59:$D62,F59:F62,$L59:$L62,N59:N62)</f>
        <v>#VALUE!</v>
      </c>
      <c r="X59" s="97" t="e">
        <f>bdrate($D59:$D62,G59:G62,$L59:$L62,O59:O62)</f>
        <v>#VALUE!</v>
      </c>
      <c r="Y59" s="108" t="e">
        <f>bdrateOld($D59:$D62,E59:E62,$L59:$L62,M59:M62)</f>
        <v>#VALUE!</v>
      </c>
      <c r="Z59" s="109" t="e">
        <f>bdrateOld($D59:$D62,F59:F62,$L59:$L62,N59:N62)</f>
        <v>#VALUE!</v>
      </c>
      <c r="AA59" s="110" t="e">
        <f>bdrateOld($D59:$D62,G59:G62,$L59:$L62,O59:O62)</f>
        <v>#VALUE!</v>
      </c>
    </row>
    <row r="60" spans="1:27" x14ac:dyDescent="0.25">
      <c r="A60" s="76" t="s">
        <v>80</v>
      </c>
      <c r="B60" s="77"/>
      <c r="C60" s="76">
        <v>32</v>
      </c>
      <c r="D60" s="78">
        <f>Reference!B58</f>
        <v>0</v>
      </c>
      <c r="E60" s="79">
        <f>Reference!C58</f>
        <v>0</v>
      </c>
      <c r="F60" s="79">
        <f>Reference!D58</f>
        <v>0</v>
      </c>
      <c r="G60" s="79">
        <f>Reference!E58</f>
        <v>0</v>
      </c>
      <c r="H60" s="79">
        <f>Reference!F58</f>
        <v>0</v>
      </c>
      <c r="I60" s="79">
        <f>Reference!G58</f>
        <v>0</v>
      </c>
      <c r="J60" s="92">
        <f t="shared" si="11"/>
        <v>0</v>
      </c>
      <c r="L60" s="78">
        <f>Test!B58</f>
        <v>0</v>
      </c>
      <c r="M60" s="79">
        <f>Test!C58</f>
        <v>0</v>
      </c>
      <c r="N60" s="79">
        <f>Test!D58</f>
        <v>0</v>
      </c>
      <c r="O60" s="79">
        <f>Test!E58</f>
        <v>0</v>
      </c>
      <c r="P60" s="79">
        <f>Test!F58</f>
        <v>0</v>
      </c>
      <c r="Q60" s="79">
        <f>Test!G58</f>
        <v>0</v>
      </c>
      <c r="R60" s="79">
        <f t="shared" si="12"/>
        <v>0</v>
      </c>
      <c r="S60" s="78" t="e">
        <f t="shared" si="13"/>
        <v>#DIV/0!</v>
      </c>
      <c r="T60" s="79" t="e">
        <f t="shared" si="14"/>
        <v>#DIV/0!</v>
      </c>
      <c r="U60" s="99"/>
      <c r="V60" s="100"/>
      <c r="W60" s="100"/>
      <c r="X60" s="100"/>
      <c r="Y60" s="106"/>
      <c r="Z60" s="100"/>
      <c r="AA60" s="101"/>
    </row>
    <row r="61" spans="1:27" x14ac:dyDescent="0.25">
      <c r="A61" s="76"/>
      <c r="B61" s="77"/>
      <c r="C61" s="76">
        <v>38</v>
      </c>
      <c r="D61" s="78">
        <f>Reference!B59</f>
        <v>0</v>
      </c>
      <c r="E61" s="79">
        <f>Reference!C59</f>
        <v>0</v>
      </c>
      <c r="F61" s="79">
        <f>Reference!D59</f>
        <v>0</v>
      </c>
      <c r="G61" s="79">
        <f>Reference!E59</f>
        <v>0</v>
      </c>
      <c r="H61" s="79">
        <f>Reference!F59</f>
        <v>0</v>
      </c>
      <c r="I61" s="79">
        <f>Reference!G59</f>
        <v>0</v>
      </c>
      <c r="J61" s="92">
        <f t="shared" si="11"/>
        <v>0</v>
      </c>
      <c r="L61" s="78">
        <f>Test!B59</f>
        <v>0</v>
      </c>
      <c r="M61" s="79">
        <f>Test!C59</f>
        <v>0</v>
      </c>
      <c r="N61" s="79">
        <f>Test!D59</f>
        <v>0</v>
      </c>
      <c r="O61" s="79">
        <f>Test!E59</f>
        <v>0</v>
      </c>
      <c r="P61" s="79">
        <f>Test!F59</f>
        <v>0</v>
      </c>
      <c r="Q61" s="79">
        <f>Test!G59</f>
        <v>0</v>
      </c>
      <c r="R61" s="79">
        <f t="shared" si="12"/>
        <v>0</v>
      </c>
      <c r="S61" s="78" t="e">
        <f t="shared" si="13"/>
        <v>#DIV/0!</v>
      </c>
      <c r="T61" s="79" t="e">
        <f t="shared" si="14"/>
        <v>#DIV/0!</v>
      </c>
      <c r="U61" s="99"/>
      <c r="V61" s="100"/>
      <c r="W61" s="100"/>
      <c r="X61" s="100"/>
      <c r="Y61" s="106"/>
      <c r="Z61" s="100"/>
      <c r="AA61" s="101"/>
    </row>
    <row r="62" spans="1:27" x14ac:dyDescent="0.25">
      <c r="A62" s="76"/>
      <c r="B62" s="80"/>
      <c r="C62" s="81">
        <v>45</v>
      </c>
      <c r="D62" s="82">
        <f>Reference!B60</f>
        <v>0</v>
      </c>
      <c r="E62" s="83">
        <f>Reference!C60</f>
        <v>0</v>
      </c>
      <c r="F62" s="83">
        <f>Reference!D60</f>
        <v>0</v>
      </c>
      <c r="G62" s="83">
        <f>Reference!E60</f>
        <v>0</v>
      </c>
      <c r="H62" s="83">
        <f>Reference!F60</f>
        <v>0</v>
      </c>
      <c r="I62" s="83">
        <f>Reference!G60</f>
        <v>0</v>
      </c>
      <c r="J62" s="93">
        <f t="shared" si="11"/>
        <v>0</v>
      </c>
      <c r="L62" s="82">
        <f>Test!B60</f>
        <v>0</v>
      </c>
      <c r="M62" s="83">
        <f>Test!C60</f>
        <v>0</v>
      </c>
      <c r="N62" s="83">
        <f>Test!D60</f>
        <v>0</v>
      </c>
      <c r="O62" s="83">
        <f>Test!E60</f>
        <v>0</v>
      </c>
      <c r="P62" s="83">
        <f>Test!F60</f>
        <v>0</v>
      </c>
      <c r="Q62" s="83">
        <f>Test!G60</f>
        <v>0</v>
      </c>
      <c r="R62" s="83">
        <f t="shared" si="12"/>
        <v>0</v>
      </c>
      <c r="S62" s="78" t="e">
        <f t="shared" si="13"/>
        <v>#DIV/0!</v>
      </c>
      <c r="T62" s="79" t="e">
        <f t="shared" si="14"/>
        <v>#DIV/0!</v>
      </c>
      <c r="U62" s="99"/>
      <c r="V62" s="102"/>
      <c r="W62" s="102"/>
      <c r="X62" s="102"/>
      <c r="Y62" s="107"/>
      <c r="Z62" s="102"/>
      <c r="AA62" s="103"/>
    </row>
    <row r="63" spans="1:27" x14ac:dyDescent="0.25">
      <c r="A63" s="76"/>
      <c r="B63" s="69" t="s">
        <v>81</v>
      </c>
      <c r="C63" s="73">
        <v>27</v>
      </c>
      <c r="D63" s="74">
        <f>Reference!B61</f>
        <v>0</v>
      </c>
      <c r="E63" s="75">
        <f>Reference!C61</f>
        <v>0</v>
      </c>
      <c r="F63" s="75">
        <f>Reference!D61</f>
        <v>0</v>
      </c>
      <c r="G63" s="75">
        <f>Reference!E61</f>
        <v>0</v>
      </c>
      <c r="H63" s="75">
        <f>Reference!F61</f>
        <v>0</v>
      </c>
      <c r="I63" s="75">
        <f>Reference!G61</f>
        <v>0</v>
      </c>
      <c r="J63" s="91">
        <f t="shared" si="11"/>
        <v>0</v>
      </c>
      <c r="L63" s="74">
        <f>Test!B61</f>
        <v>0</v>
      </c>
      <c r="M63" s="75">
        <f>Test!C61</f>
        <v>0</v>
      </c>
      <c r="N63" s="75">
        <f>Test!D61</f>
        <v>0</v>
      </c>
      <c r="O63" s="75">
        <f>Test!E61</f>
        <v>0</v>
      </c>
      <c r="P63" s="75">
        <f>Test!F61</f>
        <v>0</v>
      </c>
      <c r="Q63" s="75">
        <f>Test!G61</f>
        <v>0</v>
      </c>
      <c r="R63" s="75">
        <f t="shared" si="12"/>
        <v>0</v>
      </c>
      <c r="S63" s="78" t="e">
        <f t="shared" si="13"/>
        <v>#DIV/0!</v>
      </c>
      <c r="T63" s="79" t="e">
        <f t="shared" si="14"/>
        <v>#DIV/0!</v>
      </c>
      <c r="U63" s="99"/>
      <c r="V63" s="97" t="e">
        <f>bdrate($D63:$D66,E63:E66,$L63:$L66,M63:M66)</f>
        <v>#VALUE!</v>
      </c>
      <c r="W63" s="97" t="e">
        <f>bdrate($D63:$D66,F63:F66,$L63:$L66,N63:N66)</f>
        <v>#VALUE!</v>
      </c>
      <c r="X63" s="97" t="e">
        <f>bdrate($D63:$D66,G63:G66,$L63:$L66,O63:O66)</f>
        <v>#VALUE!</v>
      </c>
      <c r="Y63" s="108" t="e">
        <f>bdrateOld($D63:$D66,E63:E66,$L63:$L66,M63:M66)</f>
        <v>#VALUE!</v>
      </c>
      <c r="Z63" s="109" t="e">
        <f>bdrateOld($D63:$D66,F63:F66,$L63:$L66,N63:N66)</f>
        <v>#VALUE!</v>
      </c>
      <c r="AA63" s="110" t="e">
        <f>bdrateOld($D63:$D66,G63:G66,$L63:$L66,O63:O66)</f>
        <v>#VALUE!</v>
      </c>
    </row>
    <row r="64" spans="1:27" x14ac:dyDescent="0.25">
      <c r="A64" s="76"/>
      <c r="B64" s="77"/>
      <c r="C64" s="76">
        <v>32</v>
      </c>
      <c r="D64" s="78">
        <f>Reference!B62</f>
        <v>0</v>
      </c>
      <c r="E64" s="79">
        <f>Reference!C62</f>
        <v>0</v>
      </c>
      <c r="F64" s="79">
        <f>Reference!D62</f>
        <v>0</v>
      </c>
      <c r="G64" s="79">
        <f>Reference!E62</f>
        <v>0</v>
      </c>
      <c r="H64" s="79">
        <f>Reference!F62</f>
        <v>0</v>
      </c>
      <c r="I64" s="79">
        <f>Reference!G62</f>
        <v>0</v>
      </c>
      <c r="J64" s="92">
        <f t="shared" si="11"/>
        <v>0</v>
      </c>
      <c r="L64" s="78">
        <f>Test!B62</f>
        <v>0</v>
      </c>
      <c r="M64" s="79">
        <f>Test!C62</f>
        <v>0</v>
      </c>
      <c r="N64" s="79">
        <f>Test!D62</f>
        <v>0</v>
      </c>
      <c r="O64" s="79">
        <f>Test!E62</f>
        <v>0</v>
      </c>
      <c r="P64" s="79">
        <f>Test!F62</f>
        <v>0</v>
      </c>
      <c r="Q64" s="79">
        <f>Test!G62</f>
        <v>0</v>
      </c>
      <c r="R64" s="79">
        <f t="shared" si="12"/>
        <v>0</v>
      </c>
      <c r="S64" s="78" t="e">
        <f t="shared" si="13"/>
        <v>#DIV/0!</v>
      </c>
      <c r="T64" s="79" t="e">
        <f t="shared" si="14"/>
        <v>#DIV/0!</v>
      </c>
      <c r="U64" s="99"/>
      <c r="V64" s="100"/>
      <c r="W64" s="100"/>
      <c r="X64" s="100"/>
      <c r="Y64" s="106"/>
      <c r="Z64" s="100"/>
      <c r="AA64" s="101"/>
    </row>
    <row r="65" spans="1:27" x14ac:dyDescent="0.25">
      <c r="A65" s="76"/>
      <c r="B65" s="77"/>
      <c r="C65" s="76">
        <v>38</v>
      </c>
      <c r="D65" s="78">
        <f>Reference!B63</f>
        <v>0</v>
      </c>
      <c r="E65" s="79">
        <f>Reference!C63</f>
        <v>0</v>
      </c>
      <c r="F65" s="79">
        <f>Reference!D63</f>
        <v>0</v>
      </c>
      <c r="G65" s="79">
        <f>Reference!E63</f>
        <v>0</v>
      </c>
      <c r="H65" s="79">
        <f>Reference!F63</f>
        <v>0</v>
      </c>
      <c r="I65" s="79">
        <f>Reference!G63</f>
        <v>0</v>
      </c>
      <c r="J65" s="92">
        <f t="shared" si="11"/>
        <v>0</v>
      </c>
      <c r="L65" s="78">
        <f>Test!B63</f>
        <v>0</v>
      </c>
      <c r="M65" s="79">
        <f>Test!C63</f>
        <v>0</v>
      </c>
      <c r="N65" s="79">
        <f>Test!D63</f>
        <v>0</v>
      </c>
      <c r="O65" s="79">
        <f>Test!E63</f>
        <v>0</v>
      </c>
      <c r="P65" s="79">
        <f>Test!F63</f>
        <v>0</v>
      </c>
      <c r="Q65" s="79">
        <f>Test!G63</f>
        <v>0</v>
      </c>
      <c r="R65" s="79">
        <f t="shared" si="12"/>
        <v>0</v>
      </c>
      <c r="S65" s="78" t="e">
        <f t="shared" si="13"/>
        <v>#DIV/0!</v>
      </c>
      <c r="T65" s="79" t="e">
        <f t="shared" si="14"/>
        <v>#DIV/0!</v>
      </c>
      <c r="U65" s="99"/>
      <c r="V65" s="100"/>
      <c r="W65" s="100"/>
      <c r="X65" s="100"/>
      <c r="Y65" s="106"/>
      <c r="Z65" s="100"/>
      <c r="AA65" s="101"/>
    </row>
    <row r="66" spans="1:27" x14ac:dyDescent="0.25">
      <c r="A66" s="76"/>
      <c r="B66" s="80"/>
      <c r="C66" s="81">
        <v>45</v>
      </c>
      <c r="D66" s="82">
        <f>Reference!B64</f>
        <v>0</v>
      </c>
      <c r="E66" s="83">
        <f>Reference!C64</f>
        <v>0</v>
      </c>
      <c r="F66" s="83">
        <f>Reference!D64</f>
        <v>0</v>
      </c>
      <c r="G66" s="83">
        <f>Reference!E64</f>
        <v>0</v>
      </c>
      <c r="H66" s="83">
        <f>Reference!F64</f>
        <v>0</v>
      </c>
      <c r="I66" s="83">
        <f>Reference!G64</f>
        <v>0</v>
      </c>
      <c r="J66" s="93">
        <f t="shared" si="11"/>
        <v>0</v>
      </c>
      <c r="L66" s="82">
        <f>Test!B64</f>
        <v>0</v>
      </c>
      <c r="M66" s="83">
        <f>Test!C64</f>
        <v>0</v>
      </c>
      <c r="N66" s="83">
        <f>Test!D64</f>
        <v>0</v>
      </c>
      <c r="O66" s="83">
        <f>Test!E64</f>
        <v>0</v>
      </c>
      <c r="P66" s="83">
        <f>Test!F64</f>
        <v>0</v>
      </c>
      <c r="Q66" s="83">
        <f>Test!G64</f>
        <v>0</v>
      </c>
      <c r="R66" s="83">
        <f t="shared" si="12"/>
        <v>0</v>
      </c>
      <c r="S66" s="78" t="e">
        <f t="shared" si="13"/>
        <v>#DIV/0!</v>
      </c>
      <c r="T66" s="79" t="e">
        <f t="shared" si="14"/>
        <v>#DIV/0!</v>
      </c>
      <c r="U66" s="99"/>
      <c r="V66" s="102"/>
      <c r="W66" s="102"/>
      <c r="X66" s="102"/>
      <c r="Y66" s="107"/>
      <c r="Z66" s="102"/>
      <c r="AA66" s="103"/>
    </row>
    <row r="67" spans="1:27" x14ac:dyDescent="0.25">
      <c r="A67" s="76"/>
      <c r="B67" s="69" t="s">
        <v>82</v>
      </c>
      <c r="C67" s="73">
        <v>27</v>
      </c>
      <c r="D67" s="74">
        <f>Reference!B65</f>
        <v>0</v>
      </c>
      <c r="E67" s="75">
        <f>Reference!C65</f>
        <v>0</v>
      </c>
      <c r="F67" s="75">
        <f>Reference!D65</f>
        <v>0</v>
      </c>
      <c r="G67" s="75">
        <f>Reference!E65</f>
        <v>0</v>
      </c>
      <c r="H67" s="75">
        <f>Reference!F65</f>
        <v>0</v>
      </c>
      <c r="I67" s="75">
        <f>Reference!G65</f>
        <v>0</v>
      </c>
      <c r="J67" s="91">
        <f t="shared" si="11"/>
        <v>0</v>
      </c>
      <c r="L67" s="74">
        <f>Test!B65</f>
        <v>0</v>
      </c>
      <c r="M67" s="75">
        <f>Test!C65</f>
        <v>0</v>
      </c>
      <c r="N67" s="75">
        <f>Test!D65</f>
        <v>0</v>
      </c>
      <c r="O67" s="75">
        <f>Test!E65</f>
        <v>0</v>
      </c>
      <c r="P67" s="75">
        <f>Test!F65</f>
        <v>0</v>
      </c>
      <c r="Q67" s="75">
        <f>Test!G65</f>
        <v>0</v>
      </c>
      <c r="R67" s="75">
        <f t="shared" si="12"/>
        <v>0</v>
      </c>
      <c r="S67" s="78" t="e">
        <f t="shared" si="13"/>
        <v>#DIV/0!</v>
      </c>
      <c r="T67" s="79" t="e">
        <f t="shared" si="14"/>
        <v>#DIV/0!</v>
      </c>
      <c r="U67" s="99"/>
      <c r="V67" s="97" t="e">
        <f>bdrate($D67:$D70,E67:E70,$L67:$L70,M67:M70)</f>
        <v>#VALUE!</v>
      </c>
      <c r="W67" s="97" t="e">
        <f>bdrate($D67:$D70,F67:F70,$L67:$L70,N67:N70)</f>
        <v>#VALUE!</v>
      </c>
      <c r="X67" s="97" t="e">
        <f>bdrate($D67:$D70,G67:G70,$L67:$L70,O67:O70)</f>
        <v>#VALUE!</v>
      </c>
      <c r="Y67" s="108" t="e">
        <f>bdrateOld($D67:$D70,E67:E70,$L67:$L70,M67:M70)</f>
        <v>#VALUE!</v>
      </c>
      <c r="Z67" s="109" t="e">
        <f>bdrateOld($D67:$D70,F67:F70,$L67:$L70,N67:N70)</f>
        <v>#VALUE!</v>
      </c>
      <c r="AA67" s="110" t="e">
        <f>bdrateOld($D67:$D70,G67:G70,$L67:$L70,O67:O70)</f>
        <v>#VALUE!</v>
      </c>
    </row>
    <row r="68" spans="1:27" x14ac:dyDescent="0.25">
      <c r="A68" s="76"/>
      <c r="B68" s="77"/>
      <c r="C68" s="76">
        <v>32</v>
      </c>
      <c r="D68" s="78">
        <f>Reference!B66</f>
        <v>0</v>
      </c>
      <c r="E68" s="79">
        <f>Reference!C66</f>
        <v>0</v>
      </c>
      <c r="F68" s="79">
        <f>Reference!D66</f>
        <v>0</v>
      </c>
      <c r="G68" s="79">
        <f>Reference!E66</f>
        <v>0</v>
      </c>
      <c r="H68" s="79">
        <f>Reference!F66</f>
        <v>0</v>
      </c>
      <c r="I68" s="79">
        <f>Reference!G66</f>
        <v>0</v>
      </c>
      <c r="J68" s="92">
        <f t="shared" si="11"/>
        <v>0</v>
      </c>
      <c r="L68" s="78">
        <f>Test!B66</f>
        <v>0</v>
      </c>
      <c r="M68" s="79">
        <f>Test!C66</f>
        <v>0</v>
      </c>
      <c r="N68" s="79">
        <f>Test!D66</f>
        <v>0</v>
      </c>
      <c r="O68" s="79">
        <f>Test!E66</f>
        <v>0</v>
      </c>
      <c r="P68" s="79">
        <f>Test!F66</f>
        <v>0</v>
      </c>
      <c r="Q68" s="79">
        <f>Test!G66</f>
        <v>0</v>
      </c>
      <c r="R68" s="79">
        <f t="shared" si="12"/>
        <v>0</v>
      </c>
      <c r="S68" s="78" t="e">
        <f t="shared" si="13"/>
        <v>#DIV/0!</v>
      </c>
      <c r="T68" s="79" t="e">
        <f t="shared" si="14"/>
        <v>#DIV/0!</v>
      </c>
      <c r="U68" s="99"/>
      <c r="V68" s="100"/>
      <c r="W68" s="100"/>
      <c r="X68" s="100"/>
      <c r="Y68" s="106"/>
      <c r="Z68" s="100"/>
      <c r="AA68" s="101"/>
    </row>
    <row r="69" spans="1:27" x14ac:dyDescent="0.25">
      <c r="A69" s="76"/>
      <c r="B69" s="77"/>
      <c r="C69" s="76">
        <v>38</v>
      </c>
      <c r="D69" s="78">
        <f>Reference!B67</f>
        <v>0</v>
      </c>
      <c r="E69" s="79">
        <f>Reference!C67</f>
        <v>0</v>
      </c>
      <c r="F69" s="79">
        <f>Reference!D67</f>
        <v>0</v>
      </c>
      <c r="G69" s="79">
        <f>Reference!E67</f>
        <v>0</v>
      </c>
      <c r="H69" s="79">
        <f>Reference!F67</f>
        <v>0</v>
      </c>
      <c r="I69" s="79">
        <f>Reference!G67</f>
        <v>0</v>
      </c>
      <c r="J69" s="92">
        <f t="shared" si="11"/>
        <v>0</v>
      </c>
      <c r="L69" s="78">
        <f>Test!B67</f>
        <v>0</v>
      </c>
      <c r="M69" s="79">
        <f>Test!C67</f>
        <v>0</v>
      </c>
      <c r="N69" s="79">
        <f>Test!D67</f>
        <v>0</v>
      </c>
      <c r="O69" s="79">
        <f>Test!E67</f>
        <v>0</v>
      </c>
      <c r="P69" s="79">
        <f>Test!F67</f>
        <v>0</v>
      </c>
      <c r="Q69" s="79">
        <f>Test!G67</f>
        <v>0</v>
      </c>
      <c r="R69" s="79">
        <f t="shared" si="12"/>
        <v>0</v>
      </c>
      <c r="S69" s="78" t="e">
        <f t="shared" si="13"/>
        <v>#DIV/0!</v>
      </c>
      <c r="T69" s="79" t="e">
        <f t="shared" si="14"/>
        <v>#DIV/0!</v>
      </c>
      <c r="U69" s="99"/>
      <c r="V69" s="100"/>
      <c r="W69" s="100"/>
      <c r="X69" s="100"/>
      <c r="Y69" s="106"/>
      <c r="Z69" s="100"/>
      <c r="AA69" s="101"/>
    </row>
    <row r="70" spans="1:27" x14ac:dyDescent="0.25">
      <c r="A70" s="76"/>
      <c r="B70" s="80"/>
      <c r="C70" s="81">
        <v>45</v>
      </c>
      <c r="D70" s="82">
        <f>Reference!B68</f>
        <v>0</v>
      </c>
      <c r="E70" s="83">
        <f>Reference!C68</f>
        <v>0</v>
      </c>
      <c r="F70" s="83">
        <f>Reference!D68</f>
        <v>0</v>
      </c>
      <c r="G70" s="83">
        <f>Reference!E68</f>
        <v>0</v>
      </c>
      <c r="H70" s="83">
        <f>Reference!F68</f>
        <v>0</v>
      </c>
      <c r="I70" s="83">
        <f>Reference!G68</f>
        <v>0</v>
      </c>
      <c r="J70" s="93">
        <f t="shared" si="11"/>
        <v>0</v>
      </c>
      <c r="L70" s="82">
        <f>Test!B68</f>
        <v>0</v>
      </c>
      <c r="M70" s="83">
        <f>Test!C68</f>
        <v>0</v>
      </c>
      <c r="N70" s="83">
        <f>Test!D68</f>
        <v>0</v>
      </c>
      <c r="O70" s="83">
        <f>Test!E68</f>
        <v>0</v>
      </c>
      <c r="P70" s="83">
        <f>Test!F68</f>
        <v>0</v>
      </c>
      <c r="Q70" s="83">
        <f>Test!G68</f>
        <v>0</v>
      </c>
      <c r="R70" s="83">
        <f t="shared" si="12"/>
        <v>0</v>
      </c>
      <c r="S70" s="78" t="e">
        <f t="shared" si="13"/>
        <v>#DIV/0!</v>
      </c>
      <c r="T70" s="79" t="e">
        <f t="shared" si="14"/>
        <v>#DIV/0!</v>
      </c>
      <c r="U70" s="99"/>
      <c r="V70" s="102"/>
      <c r="W70" s="102"/>
      <c r="X70" s="102"/>
      <c r="Y70" s="107"/>
      <c r="Z70" s="102"/>
      <c r="AA70" s="103"/>
    </row>
    <row r="71" spans="1:27" x14ac:dyDescent="0.25">
      <c r="A71" s="76"/>
      <c r="B71" s="69" t="s">
        <v>83</v>
      </c>
      <c r="C71" s="73">
        <v>27</v>
      </c>
      <c r="D71" s="74">
        <f>Reference!B69</f>
        <v>0</v>
      </c>
      <c r="E71" s="75">
        <f>Reference!C69</f>
        <v>0</v>
      </c>
      <c r="F71" s="75">
        <f>Reference!D69</f>
        <v>0</v>
      </c>
      <c r="G71" s="75">
        <f>Reference!E69</f>
        <v>0</v>
      </c>
      <c r="H71" s="75">
        <f>Reference!F69</f>
        <v>0</v>
      </c>
      <c r="I71" s="75">
        <f>Reference!G69</f>
        <v>0</v>
      </c>
      <c r="J71" s="91">
        <f t="shared" si="11"/>
        <v>0</v>
      </c>
      <c r="L71" s="74">
        <f>Test!B69</f>
        <v>0</v>
      </c>
      <c r="M71" s="75">
        <f>Test!C69</f>
        <v>0</v>
      </c>
      <c r="N71" s="75">
        <f>Test!D69</f>
        <v>0</v>
      </c>
      <c r="O71" s="75">
        <f>Test!E69</f>
        <v>0</v>
      </c>
      <c r="P71" s="75">
        <f>Test!F69</f>
        <v>0</v>
      </c>
      <c r="Q71" s="75">
        <f>Test!G69</f>
        <v>0</v>
      </c>
      <c r="R71" s="75">
        <f t="shared" si="12"/>
        <v>0</v>
      </c>
      <c r="S71" s="78" t="e">
        <f t="shared" si="13"/>
        <v>#DIV/0!</v>
      </c>
      <c r="T71" s="79" t="e">
        <f t="shared" si="14"/>
        <v>#DIV/0!</v>
      </c>
      <c r="U71" s="99"/>
      <c r="V71" s="97" t="e">
        <f>bdrate($D71:$D74,E71:E74,$L71:$L74,M71:M74)</f>
        <v>#VALUE!</v>
      </c>
      <c r="W71" s="97" t="e">
        <f>bdrate($D71:$D74,F71:F74,$L71:$L74,N71:N74)</f>
        <v>#VALUE!</v>
      </c>
      <c r="X71" s="98" t="e">
        <f>bdrate($D71:$D74,G71:G74,$L71:$L74,O71:O74)</f>
        <v>#VALUE!</v>
      </c>
      <c r="Y71" s="105" t="e">
        <f>bdrateOld($D71:$D74,E71:E74,$L71:$L74,M71:M74)</f>
        <v>#VALUE!</v>
      </c>
      <c r="Z71" s="97" t="e">
        <f>bdrateOld($D71:$D74,F71:F74,$L71:$L74,N71:N74)</f>
        <v>#VALUE!</v>
      </c>
      <c r="AA71" s="98" t="e">
        <f>bdrateOld($D71:$D74,G71:G74,$L71:$L74,O71:O74)</f>
        <v>#VALUE!</v>
      </c>
    </row>
    <row r="72" spans="1:27" x14ac:dyDescent="0.25">
      <c r="A72" s="76"/>
      <c r="B72" s="77"/>
      <c r="C72" s="76">
        <v>32</v>
      </c>
      <c r="D72" s="78">
        <f>Reference!B70</f>
        <v>0</v>
      </c>
      <c r="E72" s="79">
        <f>Reference!C70</f>
        <v>0</v>
      </c>
      <c r="F72" s="79">
        <f>Reference!D70</f>
        <v>0</v>
      </c>
      <c r="G72" s="79">
        <f>Reference!E70</f>
        <v>0</v>
      </c>
      <c r="H72" s="79">
        <f>Reference!F70</f>
        <v>0</v>
      </c>
      <c r="I72" s="79">
        <f>Reference!G70</f>
        <v>0</v>
      </c>
      <c r="J72" s="92">
        <f t="shared" ref="J72:J74" si="15">H72/3600</f>
        <v>0</v>
      </c>
      <c r="L72" s="78">
        <f>Test!B70</f>
        <v>0</v>
      </c>
      <c r="M72" s="79">
        <f>Test!C70</f>
        <v>0</v>
      </c>
      <c r="N72" s="79">
        <f>Test!D70</f>
        <v>0</v>
      </c>
      <c r="O72" s="79">
        <f>Test!E70</f>
        <v>0</v>
      </c>
      <c r="P72" s="79">
        <f>Test!F70</f>
        <v>0</v>
      </c>
      <c r="Q72" s="79">
        <f>Test!G70</f>
        <v>0</v>
      </c>
      <c r="R72" s="79">
        <f t="shared" ref="R72:R74" si="16">P72/3600</f>
        <v>0</v>
      </c>
      <c r="S72" s="78" t="e">
        <f t="shared" ref="S72:S74" si="17">P72/H72</f>
        <v>#DIV/0!</v>
      </c>
      <c r="T72" s="79" t="e">
        <f t="shared" ref="T72:T74" si="18">Q72/I72</f>
        <v>#DIV/0!</v>
      </c>
      <c r="U72" s="99"/>
      <c r="V72" s="100"/>
      <c r="W72" s="100"/>
      <c r="X72" s="101"/>
      <c r="Y72" s="106"/>
      <c r="Z72" s="100"/>
      <c r="AA72" s="101"/>
    </row>
    <row r="73" spans="1:27" x14ac:dyDescent="0.25">
      <c r="A73" s="76"/>
      <c r="B73" s="77"/>
      <c r="C73" s="76">
        <v>38</v>
      </c>
      <c r="D73" s="78">
        <f>Reference!B71</f>
        <v>0</v>
      </c>
      <c r="E73" s="79">
        <f>Reference!C71</f>
        <v>0</v>
      </c>
      <c r="F73" s="79">
        <f>Reference!D71</f>
        <v>0</v>
      </c>
      <c r="G73" s="79">
        <f>Reference!E71</f>
        <v>0</v>
      </c>
      <c r="H73" s="79">
        <f>Reference!F71</f>
        <v>0</v>
      </c>
      <c r="I73" s="79">
        <f>Reference!G71</f>
        <v>0</v>
      </c>
      <c r="J73" s="92">
        <f t="shared" si="15"/>
        <v>0</v>
      </c>
      <c r="L73" s="78">
        <f>Test!B71</f>
        <v>0</v>
      </c>
      <c r="M73" s="79">
        <f>Test!C71</f>
        <v>0</v>
      </c>
      <c r="N73" s="79">
        <f>Test!D71</f>
        <v>0</v>
      </c>
      <c r="O73" s="79">
        <f>Test!E71</f>
        <v>0</v>
      </c>
      <c r="P73" s="79">
        <f>Test!F71</f>
        <v>0</v>
      </c>
      <c r="Q73" s="79">
        <f>Test!G71</f>
        <v>0</v>
      </c>
      <c r="R73" s="79">
        <f t="shared" si="16"/>
        <v>0</v>
      </c>
      <c r="S73" s="78" t="e">
        <f t="shared" si="17"/>
        <v>#DIV/0!</v>
      </c>
      <c r="T73" s="79" t="e">
        <f t="shared" si="18"/>
        <v>#DIV/0!</v>
      </c>
      <c r="U73" s="99"/>
      <c r="V73" s="100"/>
      <c r="W73" s="100"/>
      <c r="X73" s="101"/>
      <c r="Y73" s="106"/>
      <c r="Z73" s="100"/>
      <c r="AA73" s="101"/>
    </row>
    <row r="74" spans="1:27" x14ac:dyDescent="0.25">
      <c r="A74" s="81"/>
      <c r="B74" s="80"/>
      <c r="C74" s="81">
        <v>45</v>
      </c>
      <c r="D74" s="82">
        <f>Reference!B72</f>
        <v>0</v>
      </c>
      <c r="E74" s="83">
        <f>Reference!C72</f>
        <v>0</v>
      </c>
      <c r="F74" s="83">
        <f>Reference!D72</f>
        <v>0</v>
      </c>
      <c r="G74" s="83">
        <f>Reference!E72</f>
        <v>0</v>
      </c>
      <c r="H74" s="83">
        <f>Reference!F72</f>
        <v>0</v>
      </c>
      <c r="I74" s="83">
        <f>Reference!G72</f>
        <v>0</v>
      </c>
      <c r="J74" s="93">
        <f t="shared" si="15"/>
        <v>0</v>
      </c>
      <c r="L74" s="82">
        <f>Test!B72</f>
        <v>0</v>
      </c>
      <c r="M74" s="83">
        <f>Test!C72</f>
        <v>0</v>
      </c>
      <c r="N74" s="83">
        <f>Test!D72</f>
        <v>0</v>
      </c>
      <c r="O74" s="83">
        <f>Test!E72</f>
        <v>0</v>
      </c>
      <c r="P74" s="83">
        <f>Test!F72</f>
        <v>0</v>
      </c>
      <c r="Q74" s="83">
        <f>Test!G72</f>
        <v>0</v>
      </c>
      <c r="R74" s="83">
        <f t="shared" si="16"/>
        <v>0</v>
      </c>
      <c r="S74" s="82" t="e">
        <f t="shared" si="17"/>
        <v>#DIV/0!</v>
      </c>
      <c r="T74" s="83" t="e">
        <f t="shared" si="18"/>
        <v>#DIV/0!</v>
      </c>
      <c r="U74" s="104"/>
      <c r="V74" s="102"/>
      <c r="W74" s="102"/>
      <c r="X74" s="103"/>
      <c r="Y74" s="107"/>
      <c r="Z74" s="102"/>
      <c r="AA74" s="103"/>
    </row>
    <row r="75" spans="1:27" ht="12" x14ac:dyDescent="0.25">
      <c r="B75" s="111" t="s">
        <v>7</v>
      </c>
      <c r="I75" s="114">
        <f>GEOMEAN(I3:I18)</f>
        <v>25.751397364694714</v>
      </c>
      <c r="J75" s="114">
        <f>GEOMEAN(J3:J18)</f>
        <v>14.268802660201317</v>
      </c>
      <c r="Q75" s="114">
        <f>GEOMEAN(Q3:Q18)</f>
        <v>25.365259630725948</v>
      </c>
      <c r="R75" s="114">
        <f>GEOMEAN(R3:R18)</f>
        <v>12.428892976032499</v>
      </c>
      <c r="S75" s="114">
        <f>GEOMEAN(S3:S18)</f>
        <v>0.87105367366943032</v>
      </c>
      <c r="T75" s="114">
        <f>GEOMEAN(T3:T18)</f>
        <v>0.98500517356397288</v>
      </c>
      <c r="V75" s="105">
        <f>AVERAGE(V3:V18)</f>
        <v>1.9579873211325594E-3</v>
      </c>
      <c r="W75" s="97">
        <f t="shared" ref="W75:AA75" si="19">AVERAGE(W3:W18)</f>
        <v>2.3613136676264301E-3</v>
      </c>
      <c r="X75" s="97">
        <f t="shared" si="19"/>
        <v>1.8777261767045639E-3</v>
      </c>
      <c r="Y75" s="105">
        <f t="shared" si="19"/>
        <v>1.9811957111115497E-3</v>
      </c>
      <c r="Z75" s="97">
        <f t="shared" si="19"/>
        <v>1.8601948954359848E-3</v>
      </c>
      <c r="AA75" s="98">
        <f t="shared" si="19"/>
        <v>1.5102345412280616E-3</v>
      </c>
    </row>
    <row r="76" spans="1:27" ht="12" x14ac:dyDescent="0.25">
      <c r="B76" s="111" t="s">
        <v>8</v>
      </c>
      <c r="I76" s="114">
        <f>GEOMEAN(I19:I34)</f>
        <v>12.184099307095547</v>
      </c>
      <c r="J76" s="114">
        <f>GEOMEAN(J19:J34)</f>
        <v>7.6698787587295554</v>
      </c>
      <c r="Q76" s="114">
        <f>GEOMEAN(Q19:Q34)</f>
        <v>12.344021821045407</v>
      </c>
      <c r="R76" s="114">
        <f>GEOMEAN(R19:R34)</f>
        <v>6.6245552251064801</v>
      </c>
      <c r="S76" s="114">
        <f>GEOMEAN(S19:S34)</f>
        <v>0.8637105531253243</v>
      </c>
      <c r="T76" s="114">
        <f>GEOMEAN(T19:T34)</f>
        <v>1.0131255097253455</v>
      </c>
      <c r="V76" s="108">
        <f>AVERAGE(V19:V34)</f>
        <v>1.4510502015205318E-3</v>
      </c>
      <c r="W76" s="109">
        <f t="shared" ref="W76:AA76" si="20">AVERAGE(W19:W34)</f>
        <v>-3.232633344291691E-4</v>
      </c>
      <c r="X76" s="109">
        <f t="shared" si="20"/>
        <v>-3.1923434614000712E-5</v>
      </c>
      <c r="Y76" s="108">
        <f t="shared" si="20"/>
        <v>1.4378322741758764E-3</v>
      </c>
      <c r="Z76" s="109">
        <f t="shared" si="20"/>
        <v>-3.2364592354450217E-4</v>
      </c>
      <c r="AA76" s="110">
        <f t="shared" si="20"/>
        <v>-6.3427746727018341E-5</v>
      </c>
    </row>
    <row r="77" spans="1:27" ht="12" x14ac:dyDescent="0.25">
      <c r="B77" s="111" t="s">
        <v>9</v>
      </c>
      <c r="I77" s="114" t="e">
        <f>GEOMEAN(I35:I50)</f>
        <v>#NUM!</v>
      </c>
      <c r="J77" s="114">
        <f>GEOMEAN(J35:J50)</f>
        <v>4.2043904178026121</v>
      </c>
      <c r="Q77" s="114" t="e">
        <f>GEOMEAN(Q35:Q50)</f>
        <v>#NUM!</v>
      </c>
      <c r="R77" s="114">
        <f>GEOMEAN(R35:R50)</f>
        <v>3.4964136482229828</v>
      </c>
      <c r="S77" s="114">
        <f>GEOMEAN(S35:S50)</f>
        <v>0.83161012674230961</v>
      </c>
      <c r="T77" s="114" t="e">
        <f>GEOMEAN(T35:T50)</f>
        <v>#DIV/0!</v>
      </c>
      <c r="V77" s="108">
        <f>AVERAGE(V35:V50)</f>
        <v>1.8572456740225951E-3</v>
      </c>
      <c r="W77" s="109">
        <f t="shared" ref="W77:AA77" si="21">AVERAGE(W35:W50)</f>
        <v>-3.8809024796415681E-5</v>
      </c>
      <c r="X77" s="109">
        <f t="shared" si="21"/>
        <v>1.5156756459850929E-3</v>
      </c>
      <c r="Y77" s="108">
        <f t="shared" si="21"/>
        <v>1.5644490694395607E-3</v>
      </c>
      <c r="Z77" s="109">
        <f t="shared" si="21"/>
        <v>-4.2942907224136073E-4</v>
      </c>
      <c r="AA77" s="110">
        <f t="shared" si="21"/>
        <v>1.3693849516171197E-3</v>
      </c>
    </row>
    <row r="78" spans="1:27" ht="12" x14ac:dyDescent="0.25">
      <c r="B78" s="111" t="s">
        <v>77</v>
      </c>
      <c r="I78" s="114" t="e">
        <f>GEOMEAN(I51:I58)</f>
        <v>#NUM!</v>
      </c>
      <c r="J78" s="114" t="e">
        <f>GEOMEAN(J51:J58)</f>
        <v>#NUM!</v>
      </c>
      <c r="Q78" s="114" t="e">
        <f>GEOMEAN(Q51:Q58)</f>
        <v>#NUM!</v>
      </c>
      <c r="R78" s="114" t="e">
        <f>GEOMEAN(R51:R58)</f>
        <v>#NUM!</v>
      </c>
      <c r="S78" s="114" t="e">
        <f>GEOMEAN(S51:S58)</f>
        <v>#DIV/0!</v>
      </c>
      <c r="T78" s="114" t="e">
        <f>GEOMEAN(T51:T58)</f>
        <v>#DIV/0!</v>
      </c>
      <c r="V78" s="108" t="e">
        <f>AVERAGE(V51:V58)</f>
        <v>#VALUE!</v>
      </c>
      <c r="W78" s="109" t="e">
        <f t="shared" ref="W78:AA78" si="22">AVERAGE(W51:W58)</f>
        <v>#VALUE!</v>
      </c>
      <c r="X78" s="109" t="e">
        <f t="shared" si="22"/>
        <v>#VALUE!</v>
      </c>
      <c r="Y78" s="108" t="e">
        <f t="shared" si="22"/>
        <v>#VALUE!</v>
      </c>
      <c r="Z78" s="109" t="e">
        <f t="shared" si="22"/>
        <v>#VALUE!</v>
      </c>
      <c r="AA78" s="110" t="e">
        <f t="shared" si="22"/>
        <v>#VALUE!</v>
      </c>
    </row>
    <row r="79" spans="1:27" x14ac:dyDescent="0.25">
      <c r="B79" s="66" t="s">
        <v>84</v>
      </c>
      <c r="I79" s="114" t="e">
        <f>GEOMEAN(I59:I74)</f>
        <v>#NUM!</v>
      </c>
      <c r="J79" s="114" t="e">
        <f>GEOMEAN(J59:J74)</f>
        <v>#NUM!</v>
      </c>
      <c r="Q79" s="114" t="e">
        <f>GEOMEAN(Q59:Q74)</f>
        <v>#NUM!</v>
      </c>
      <c r="R79" s="114" t="e">
        <f>GEOMEAN(R59:R74)</f>
        <v>#NUM!</v>
      </c>
      <c r="S79" s="114" t="e">
        <f t="shared" ref="S79:T79" si="23">GEOMEAN(S59:S74)</f>
        <v>#DIV/0!</v>
      </c>
      <c r="T79" s="114" t="e">
        <f t="shared" si="23"/>
        <v>#DIV/0!</v>
      </c>
      <c r="V79" s="108" t="e">
        <f>AVERAGE(V59:V74)</f>
        <v>#VALUE!</v>
      </c>
      <c r="W79" s="109" t="e">
        <f t="shared" ref="W79:AA79" si="24">AVERAGE(W59:W74)</f>
        <v>#VALUE!</v>
      </c>
      <c r="X79" s="109" t="e">
        <f t="shared" si="24"/>
        <v>#VALUE!</v>
      </c>
      <c r="Y79" s="108" t="e">
        <f t="shared" si="24"/>
        <v>#VALUE!</v>
      </c>
      <c r="Z79" s="109" t="e">
        <f t="shared" si="24"/>
        <v>#VALUE!</v>
      </c>
      <c r="AA79" s="110" t="e">
        <f t="shared" si="24"/>
        <v>#VALUE!</v>
      </c>
    </row>
    <row r="80" spans="1:27" x14ac:dyDescent="0.25">
      <c r="A80" s="112"/>
      <c r="B80" s="113" t="s">
        <v>85</v>
      </c>
      <c r="C80" s="113"/>
      <c r="D80" s="113"/>
      <c r="E80" s="113"/>
      <c r="F80" s="113"/>
      <c r="G80" s="113"/>
      <c r="H80" s="113"/>
      <c r="I80" s="115" t="e">
        <f>GEOMEAN(I3:I50)</f>
        <v>#NUM!</v>
      </c>
      <c r="J80" s="115">
        <f>GEOMEAN(J3:J50)</f>
        <v>7.7201609757741601</v>
      </c>
      <c r="K80" s="113"/>
      <c r="L80" s="113"/>
      <c r="M80" s="113"/>
      <c r="N80" s="113"/>
      <c r="O80" s="113"/>
      <c r="P80" s="113"/>
      <c r="Q80" s="115" t="e">
        <f>GEOMEAN(Q3:Q50)</f>
        <v>#NUM!</v>
      </c>
      <c r="R80" s="115">
        <f>GEOMEAN(R3:R50)</f>
        <v>6.6029396318457216</v>
      </c>
      <c r="S80" s="115">
        <f>GEOMEAN(S3:S50)</f>
        <v>0.85528522689691633</v>
      </c>
      <c r="T80" s="115" t="e">
        <f>GEOMEAN(T3:T50)</f>
        <v>#DIV/0!</v>
      </c>
      <c r="U80" s="113"/>
      <c r="V80" s="117">
        <f>AVERAGE(V3:V50)</f>
        <v>1.7554277322252287E-3</v>
      </c>
      <c r="W80" s="118">
        <f t="shared" ref="W80:AA80" si="25">AVERAGE(W3:W50)</f>
        <v>6.6641376946694841E-4</v>
      </c>
      <c r="X80" s="119">
        <f t="shared" si="25"/>
        <v>1.1204927960252187E-3</v>
      </c>
      <c r="Y80" s="118">
        <f t="shared" si="25"/>
        <v>1.661159018242329E-3</v>
      </c>
      <c r="Z80" s="118">
        <f t="shared" si="25"/>
        <v>3.6903996655004062E-4</v>
      </c>
      <c r="AA80" s="119">
        <f t="shared" si="25"/>
        <v>9.3873058203938764E-4</v>
      </c>
    </row>
    <row r="81" spans="2:20" x14ac:dyDescent="0.25">
      <c r="B81" s="66" t="s">
        <v>86</v>
      </c>
      <c r="I81" s="116" t="e">
        <f>GEOMEAN(I3:I58)</f>
        <v>#NUM!</v>
      </c>
      <c r="J81" s="116" t="e">
        <f>GEOMEAN(J3:J58)</f>
        <v>#NUM!</v>
      </c>
      <c r="Q81" s="116" t="e">
        <f>GEOMEAN(Q3:Q58)</f>
        <v>#NUM!</v>
      </c>
      <c r="R81" s="116" t="e">
        <f>GEOMEAN(R3:R58)</f>
        <v>#NUM!</v>
      </c>
      <c r="S81" s="116"/>
      <c r="T81" s="116"/>
    </row>
    <row r="82" spans="2:20" x14ac:dyDescent="0.25">
      <c r="B82" s="66" t="s">
        <v>87</v>
      </c>
      <c r="Q82" s="120" t="e">
        <f>Q81/I81</f>
        <v>#NUM!</v>
      </c>
      <c r="R82" s="120" t="e">
        <f>R81/J81</f>
        <v>#NUM!</v>
      </c>
      <c r="S82" s="120"/>
      <c r="T82" s="120"/>
    </row>
    <row r="83" spans="2:20" x14ac:dyDescent="0.25">
      <c r="B83" s="66" t="s">
        <v>88</v>
      </c>
      <c r="I83" s="116"/>
      <c r="J83" s="116"/>
      <c r="Q83" s="116"/>
      <c r="R83" s="116"/>
      <c r="S83" s="116"/>
      <c r="T83" s="116"/>
    </row>
  </sheetData>
  <mergeCells count="4">
    <mergeCell ref="D1:J1"/>
    <mergeCell ref="L1:R1"/>
    <mergeCell ref="V1:X1"/>
    <mergeCell ref="Y1:AA1"/>
  </mergeCells>
  <phoneticPr fontId="12" type="noConversion"/>
  <conditionalFormatting sqref="Y3">
    <cfRule type="cellIs" dxfId="707" priority="1217" operator="greaterThan">
      <formula>0.03</formula>
    </cfRule>
    <cfRule type="cellIs" dxfId="706" priority="1218" stopIfTrue="1" operator="lessThan">
      <formula>-0.03</formula>
    </cfRule>
  </conditionalFormatting>
  <conditionalFormatting sqref="Z3">
    <cfRule type="cellIs" dxfId="705" priority="1215" operator="greaterThan">
      <formula>0.03</formula>
    </cfRule>
    <cfRule type="cellIs" dxfId="704" priority="1216" stopIfTrue="1" operator="lessThan">
      <formula>-0.03</formula>
    </cfRule>
  </conditionalFormatting>
  <conditionalFormatting sqref="AA3">
    <cfRule type="cellIs" dxfId="703" priority="1213" operator="greaterThan">
      <formula>0.03</formula>
    </cfRule>
    <cfRule type="cellIs" dxfId="702" priority="1214" stopIfTrue="1" operator="lessThan">
      <formula>-0.03</formula>
    </cfRule>
  </conditionalFormatting>
  <conditionalFormatting sqref="Y6:Z6">
    <cfRule type="cellIs" dxfId="701" priority="1133" operator="greaterThan">
      <formula>0.03</formula>
    </cfRule>
    <cfRule type="cellIs" dxfId="700" priority="1134" stopIfTrue="1" operator="lessThan">
      <formula>-0.03</formula>
    </cfRule>
  </conditionalFormatting>
  <conditionalFormatting sqref="Y7">
    <cfRule type="cellIs" dxfId="699" priority="1211" operator="greaterThan">
      <formula>0.03</formula>
    </cfRule>
    <cfRule type="cellIs" dxfId="698" priority="1212" stopIfTrue="1" operator="lessThan">
      <formula>-0.03</formula>
    </cfRule>
  </conditionalFormatting>
  <conditionalFormatting sqref="Z7">
    <cfRule type="cellIs" dxfId="697" priority="1209" operator="greaterThan">
      <formula>0.03</formula>
    </cfRule>
    <cfRule type="cellIs" dxfId="696" priority="1210" stopIfTrue="1" operator="lessThan">
      <formula>-0.03</formula>
    </cfRule>
  </conditionalFormatting>
  <conditionalFormatting sqref="AA7">
    <cfRule type="cellIs" dxfId="695" priority="1207" operator="greaterThan">
      <formula>0.03</formula>
    </cfRule>
    <cfRule type="cellIs" dxfId="694" priority="1208" stopIfTrue="1" operator="lessThan">
      <formula>-0.03</formula>
    </cfRule>
  </conditionalFormatting>
  <conditionalFormatting sqref="Y10:Z10">
    <cfRule type="cellIs" dxfId="693" priority="1131" operator="greaterThan">
      <formula>0.03</formula>
    </cfRule>
    <cfRule type="cellIs" dxfId="692" priority="1132" stopIfTrue="1" operator="lessThan">
      <formula>-0.03</formula>
    </cfRule>
  </conditionalFormatting>
  <conditionalFormatting sqref="Y11">
    <cfRule type="cellIs" dxfId="691" priority="1205" operator="greaterThan">
      <formula>0.03</formula>
    </cfRule>
    <cfRule type="cellIs" dxfId="690" priority="1206" stopIfTrue="1" operator="lessThan">
      <formula>-0.03</formula>
    </cfRule>
  </conditionalFormatting>
  <conditionalFormatting sqref="Z11">
    <cfRule type="cellIs" dxfId="689" priority="1203" operator="greaterThan">
      <formula>0.03</formula>
    </cfRule>
    <cfRule type="cellIs" dxfId="688" priority="1204" stopIfTrue="1" operator="lessThan">
      <formula>-0.03</formula>
    </cfRule>
  </conditionalFormatting>
  <conditionalFormatting sqref="AA11">
    <cfRule type="cellIs" dxfId="687" priority="1201" operator="greaterThan">
      <formula>0.03</formula>
    </cfRule>
    <cfRule type="cellIs" dxfId="686" priority="1202" stopIfTrue="1" operator="lessThan">
      <formula>-0.03</formula>
    </cfRule>
  </conditionalFormatting>
  <conditionalFormatting sqref="Y14:Z14">
    <cfRule type="cellIs" dxfId="685" priority="1129" operator="greaterThan">
      <formula>0.03</formula>
    </cfRule>
    <cfRule type="cellIs" dxfId="684" priority="1130" stopIfTrue="1" operator="lessThan">
      <formula>-0.03</formula>
    </cfRule>
  </conditionalFormatting>
  <conditionalFormatting sqref="Y15">
    <cfRule type="cellIs" dxfId="683" priority="487" operator="greaterThan">
      <formula>0.03</formula>
    </cfRule>
    <cfRule type="cellIs" dxfId="682" priority="488" stopIfTrue="1" operator="lessThan">
      <formula>-0.03</formula>
    </cfRule>
  </conditionalFormatting>
  <conditionalFormatting sqref="Z15">
    <cfRule type="cellIs" dxfId="681" priority="485" operator="greaterThan">
      <formula>0.03</formula>
    </cfRule>
    <cfRule type="cellIs" dxfId="680" priority="486" stopIfTrue="1" operator="lessThan">
      <formula>-0.03</formula>
    </cfRule>
  </conditionalFormatting>
  <conditionalFormatting sqref="AA15">
    <cfRule type="cellIs" dxfId="679" priority="483" operator="greaterThan">
      <formula>0.03</formula>
    </cfRule>
    <cfRule type="cellIs" dxfId="678" priority="484" stopIfTrue="1" operator="lessThan">
      <formula>-0.03</formula>
    </cfRule>
  </conditionalFormatting>
  <conditionalFormatting sqref="Y18:Z18">
    <cfRule type="cellIs" dxfId="677" priority="463" operator="greaterThan">
      <formula>0.03</formula>
    </cfRule>
    <cfRule type="cellIs" dxfId="676" priority="464" stopIfTrue="1" operator="lessThan">
      <formula>-0.03</formula>
    </cfRule>
  </conditionalFormatting>
  <conditionalFormatting sqref="Y19">
    <cfRule type="cellIs" dxfId="675" priority="481" operator="greaterThan">
      <formula>0.03</formula>
    </cfRule>
    <cfRule type="cellIs" dxfId="674" priority="482" stopIfTrue="1" operator="lessThan">
      <formula>-0.03</formula>
    </cfRule>
  </conditionalFormatting>
  <conditionalFormatting sqref="Z19">
    <cfRule type="cellIs" dxfId="673" priority="479" operator="greaterThan">
      <formula>0.03</formula>
    </cfRule>
    <cfRule type="cellIs" dxfId="672" priority="480" stopIfTrue="1" operator="lessThan">
      <formula>-0.03</formula>
    </cfRule>
  </conditionalFormatting>
  <conditionalFormatting sqref="AA19">
    <cfRule type="cellIs" dxfId="671" priority="477" operator="greaterThan">
      <formula>0.03</formula>
    </cfRule>
    <cfRule type="cellIs" dxfId="670" priority="478" stopIfTrue="1" operator="lessThan">
      <formula>-0.03</formula>
    </cfRule>
  </conditionalFormatting>
  <conditionalFormatting sqref="Y22:Z22">
    <cfRule type="cellIs" dxfId="669" priority="461" operator="greaterThan">
      <formula>0.03</formula>
    </cfRule>
    <cfRule type="cellIs" dxfId="668" priority="462" stopIfTrue="1" operator="lessThan">
      <formula>-0.03</formula>
    </cfRule>
  </conditionalFormatting>
  <conditionalFormatting sqref="Y23">
    <cfRule type="cellIs" dxfId="667" priority="475" operator="greaterThan">
      <formula>0.03</formula>
    </cfRule>
    <cfRule type="cellIs" dxfId="666" priority="476" stopIfTrue="1" operator="lessThan">
      <formula>-0.03</formula>
    </cfRule>
  </conditionalFormatting>
  <conditionalFormatting sqref="Z23">
    <cfRule type="cellIs" dxfId="665" priority="473" operator="greaterThan">
      <formula>0.03</formula>
    </cfRule>
    <cfRule type="cellIs" dxfId="664" priority="474" stopIfTrue="1" operator="lessThan">
      <formula>-0.03</formula>
    </cfRule>
  </conditionalFormatting>
  <conditionalFormatting sqref="AA23">
    <cfRule type="cellIs" dxfId="663" priority="471" operator="greaterThan">
      <formula>0.03</formula>
    </cfRule>
    <cfRule type="cellIs" dxfId="662" priority="472" stopIfTrue="1" operator="lessThan">
      <formula>-0.03</formula>
    </cfRule>
  </conditionalFormatting>
  <conditionalFormatting sqref="Y26:Z26">
    <cfRule type="cellIs" dxfId="661" priority="459" operator="greaterThan">
      <formula>0.03</formula>
    </cfRule>
    <cfRule type="cellIs" dxfId="660" priority="460" stopIfTrue="1" operator="lessThan">
      <formula>-0.03</formula>
    </cfRule>
  </conditionalFormatting>
  <conditionalFormatting sqref="Y27">
    <cfRule type="cellIs" dxfId="659" priority="413" operator="greaterThan">
      <formula>0.03</formula>
    </cfRule>
    <cfRule type="cellIs" dxfId="658" priority="414" stopIfTrue="1" operator="lessThan">
      <formula>-0.03</formula>
    </cfRule>
  </conditionalFormatting>
  <conditionalFormatting sqref="Z27">
    <cfRule type="cellIs" dxfId="657" priority="411" operator="greaterThan">
      <formula>0.03</formula>
    </cfRule>
    <cfRule type="cellIs" dxfId="656" priority="412" stopIfTrue="1" operator="lessThan">
      <formula>-0.03</formula>
    </cfRule>
  </conditionalFormatting>
  <conditionalFormatting sqref="AA27">
    <cfRule type="cellIs" dxfId="655" priority="409" operator="greaterThan">
      <formula>0.03</formula>
    </cfRule>
    <cfRule type="cellIs" dxfId="654" priority="410" stopIfTrue="1" operator="lessThan">
      <formula>-0.03</formula>
    </cfRule>
  </conditionalFormatting>
  <conditionalFormatting sqref="Y30:Z30">
    <cfRule type="cellIs" dxfId="653" priority="407" operator="greaterThan">
      <formula>0.03</formula>
    </cfRule>
    <cfRule type="cellIs" dxfId="652" priority="408" stopIfTrue="1" operator="lessThan">
      <formula>-0.03</formula>
    </cfRule>
  </conditionalFormatting>
  <conditionalFormatting sqref="Y31">
    <cfRule type="cellIs" dxfId="651" priority="393" operator="greaterThan">
      <formula>0.03</formula>
    </cfRule>
    <cfRule type="cellIs" dxfId="650" priority="394" stopIfTrue="1" operator="lessThan">
      <formula>-0.03</formula>
    </cfRule>
  </conditionalFormatting>
  <conditionalFormatting sqref="Z31">
    <cfRule type="cellIs" dxfId="649" priority="391" operator="greaterThan">
      <formula>0.03</formula>
    </cfRule>
    <cfRule type="cellIs" dxfId="648" priority="392" stopIfTrue="1" operator="lessThan">
      <formula>-0.03</formula>
    </cfRule>
  </conditionalFormatting>
  <conditionalFormatting sqref="AA31">
    <cfRule type="cellIs" dxfId="647" priority="389" operator="greaterThan">
      <formula>0.03</formula>
    </cfRule>
    <cfRule type="cellIs" dxfId="646" priority="390" stopIfTrue="1" operator="lessThan">
      <formula>-0.03</formula>
    </cfRule>
  </conditionalFormatting>
  <conditionalFormatting sqref="Y34:Z34">
    <cfRule type="cellIs" dxfId="645" priority="381" operator="greaterThan">
      <formula>0.03</formula>
    </cfRule>
    <cfRule type="cellIs" dxfId="644" priority="382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Z35">
    <cfRule type="cellIs" dxfId="641" priority="385" operator="greaterThan">
      <formula>0.03</formula>
    </cfRule>
    <cfRule type="cellIs" dxfId="640" priority="386" stopIfTrue="1" operator="lessThan">
      <formula>-0.03</formula>
    </cfRule>
  </conditionalFormatting>
  <conditionalFormatting sqref="AA35">
    <cfRule type="cellIs" dxfId="639" priority="383" operator="greaterThan">
      <formula>0.03</formula>
    </cfRule>
    <cfRule type="cellIs" dxfId="638" priority="384" stopIfTrue="1" operator="lessThan">
      <formula>-0.03</formula>
    </cfRule>
  </conditionalFormatting>
  <conditionalFormatting sqref="Y38:Z38">
    <cfRule type="cellIs" dxfId="637" priority="379" operator="greaterThan">
      <formula>0.03</formula>
    </cfRule>
    <cfRule type="cellIs" dxfId="636" priority="380" stopIfTrue="1" operator="lessThan">
      <formula>-0.03</formula>
    </cfRule>
  </conditionalFormatting>
  <conditionalFormatting sqref="Y39">
    <cfRule type="cellIs" dxfId="635" priority="355" operator="greaterThan">
      <formula>0.03</formula>
    </cfRule>
    <cfRule type="cellIs" dxfId="634" priority="356" stopIfTrue="1" operator="lessThan">
      <formula>-0.03</formula>
    </cfRule>
  </conditionalFormatting>
  <conditionalFormatting sqref="Z39">
    <cfRule type="cellIs" dxfId="633" priority="353" operator="greaterThan">
      <formula>0.03</formula>
    </cfRule>
    <cfRule type="cellIs" dxfId="632" priority="354" stopIfTrue="1" operator="lessThan">
      <formula>-0.03</formula>
    </cfRule>
  </conditionalFormatting>
  <conditionalFormatting sqref="AA39">
    <cfRule type="cellIs" dxfId="631" priority="351" operator="greaterThan">
      <formula>0.03</formula>
    </cfRule>
    <cfRule type="cellIs" dxfId="630" priority="352" stopIfTrue="1" operator="lessThan">
      <formula>-0.03</formula>
    </cfRule>
  </conditionalFormatting>
  <conditionalFormatting sqref="Y42:Z42">
    <cfRule type="cellIs" dxfId="629" priority="343" operator="greaterThan">
      <formula>0.03</formula>
    </cfRule>
    <cfRule type="cellIs" dxfId="628" priority="344" stopIfTrue="1" operator="lessThan">
      <formula>-0.03</formula>
    </cfRule>
  </conditionalFormatting>
  <conditionalFormatting sqref="Y43">
    <cfRule type="cellIs" dxfId="627" priority="349" operator="greaterThan">
      <formula>0.03</formula>
    </cfRule>
    <cfRule type="cellIs" dxfId="626" priority="350" stopIfTrue="1" operator="lessThan">
      <formula>-0.03</formula>
    </cfRule>
  </conditionalFormatting>
  <conditionalFormatting sqref="Z43">
    <cfRule type="cellIs" dxfId="625" priority="347" operator="greaterThan">
      <formula>0.03</formula>
    </cfRule>
    <cfRule type="cellIs" dxfId="624" priority="348" stopIfTrue="1" operator="lessThan">
      <formula>-0.03</formula>
    </cfRule>
  </conditionalFormatting>
  <conditionalFormatting sqref="AA43">
    <cfRule type="cellIs" dxfId="623" priority="345" operator="greaterThan">
      <formula>0.03</formula>
    </cfRule>
    <cfRule type="cellIs" dxfId="622" priority="346" stopIfTrue="1" operator="lessThan">
      <formula>-0.03</formula>
    </cfRule>
  </conditionalFormatting>
  <conditionalFormatting sqref="Y46:Z46">
    <cfRule type="cellIs" dxfId="621" priority="341" operator="greaterThan">
      <formula>0.03</formula>
    </cfRule>
    <cfRule type="cellIs" dxfId="620" priority="342" stopIfTrue="1" operator="lessThan">
      <formula>-0.03</formula>
    </cfRule>
  </conditionalFormatting>
  <conditionalFormatting sqref="Y47">
    <cfRule type="cellIs" dxfId="619" priority="317" operator="greaterThan">
      <formula>0.03</formula>
    </cfRule>
    <cfRule type="cellIs" dxfId="618" priority="318" stopIfTrue="1" operator="lessThan">
      <formula>-0.03</formula>
    </cfRule>
  </conditionalFormatting>
  <conditionalFormatting sqref="Z47">
    <cfRule type="cellIs" dxfId="617" priority="315" operator="greaterThan">
      <formula>0.03</formula>
    </cfRule>
    <cfRule type="cellIs" dxfId="616" priority="316" stopIfTrue="1" operator="lessThan">
      <formula>-0.03</formula>
    </cfRule>
  </conditionalFormatting>
  <conditionalFormatting sqref="AA47">
    <cfRule type="cellIs" dxfId="615" priority="313" operator="greaterThan">
      <formula>0.03</formula>
    </cfRule>
    <cfRule type="cellIs" dxfId="614" priority="314" stopIfTrue="1" operator="lessThan">
      <formula>-0.03</formula>
    </cfRule>
  </conditionalFormatting>
  <conditionalFormatting sqref="Y50:Z50">
    <cfRule type="cellIs" dxfId="613" priority="293" operator="greaterThan">
      <formula>0.03</formula>
    </cfRule>
    <cfRule type="cellIs" dxfId="612" priority="294" stopIfTrue="1" operator="lessThan">
      <formula>-0.03</formula>
    </cfRule>
  </conditionalFormatting>
  <conditionalFormatting sqref="Y51">
    <cfRule type="cellIs" dxfId="611" priority="311" operator="greaterThan">
      <formula>0.03</formula>
    </cfRule>
    <cfRule type="cellIs" dxfId="610" priority="312" stopIfTrue="1" operator="lessThan">
      <formula>-0.03</formula>
    </cfRule>
  </conditionalFormatting>
  <conditionalFormatting sqref="Z51">
    <cfRule type="cellIs" dxfId="609" priority="309" operator="greaterThan">
      <formula>0.03</formula>
    </cfRule>
    <cfRule type="cellIs" dxfId="608" priority="310" stopIfTrue="1" operator="lessThan">
      <formula>-0.03</formula>
    </cfRule>
  </conditionalFormatting>
  <conditionalFormatting sqref="AA51">
    <cfRule type="cellIs" dxfId="607" priority="307" operator="greaterThan">
      <formula>0.03</formula>
    </cfRule>
    <cfRule type="cellIs" dxfId="606" priority="308" stopIfTrue="1" operator="lessThan">
      <formula>-0.03</formula>
    </cfRule>
  </conditionalFormatting>
  <conditionalFormatting sqref="Y54:Z54">
    <cfRule type="cellIs" dxfId="605" priority="291" operator="greaterThan">
      <formula>0.03</formula>
    </cfRule>
    <cfRule type="cellIs" dxfId="604" priority="292" stopIfTrue="1" operator="lessThan">
      <formula>-0.03</formula>
    </cfRule>
  </conditionalFormatting>
  <conditionalFormatting sqref="Y55">
    <cfRule type="cellIs" dxfId="603" priority="305" operator="greaterThan">
      <formula>0.03</formula>
    </cfRule>
    <cfRule type="cellIs" dxfId="602" priority="306" stopIfTrue="1" operator="lessThan">
      <formula>-0.03</formula>
    </cfRule>
  </conditionalFormatting>
  <conditionalFormatting sqref="Z55">
    <cfRule type="cellIs" dxfId="601" priority="303" operator="greaterThan">
      <formula>0.03</formula>
    </cfRule>
    <cfRule type="cellIs" dxfId="600" priority="304" stopIfTrue="1" operator="lessThan">
      <formula>-0.03</formula>
    </cfRule>
  </conditionalFormatting>
  <conditionalFormatting sqref="AA55">
    <cfRule type="cellIs" dxfId="599" priority="301" operator="greaterThan">
      <formula>0.03</formula>
    </cfRule>
    <cfRule type="cellIs" dxfId="598" priority="302" stopIfTrue="1" operator="lessThan">
      <formula>-0.03</formula>
    </cfRule>
  </conditionalFormatting>
  <conditionalFormatting sqref="Y58:Z58">
    <cfRule type="cellIs" dxfId="597" priority="289" operator="greaterThan">
      <formula>0.03</formula>
    </cfRule>
    <cfRule type="cellIs" dxfId="596" priority="290" stopIfTrue="1" operator="lessThan">
      <formula>-0.03</formula>
    </cfRule>
  </conditionalFormatting>
  <conditionalFormatting sqref="Y59">
    <cfRule type="cellIs" dxfId="595" priority="35" operator="greaterThan">
      <formula>0.03</formula>
    </cfRule>
    <cfRule type="cellIs" dxfId="594" priority="36" stopIfTrue="1" operator="lessThan">
      <formula>-0.03</formula>
    </cfRule>
  </conditionalFormatting>
  <conditionalFormatting sqref="Z59">
    <cfRule type="cellIs" dxfId="593" priority="33" operator="greaterThan">
      <formula>0.03</formula>
    </cfRule>
    <cfRule type="cellIs" dxfId="592" priority="34" stopIfTrue="1" operator="lessThan">
      <formula>-0.03</formula>
    </cfRule>
  </conditionalFormatting>
  <conditionalFormatting sqref="AA59">
    <cfRule type="cellIs" dxfId="591" priority="31" operator="greaterThan">
      <formula>0.03</formula>
    </cfRule>
    <cfRule type="cellIs" dxfId="590" priority="32" stopIfTrue="1" operator="lessThan">
      <formula>-0.03</formula>
    </cfRule>
  </conditionalFormatting>
  <conditionalFormatting sqref="Y62:Z62">
    <cfRule type="cellIs" dxfId="589" priority="29" operator="greaterThan">
      <formula>0.03</formula>
    </cfRule>
    <cfRule type="cellIs" dxfId="588" priority="30" stopIfTrue="1" operator="lessThan">
      <formula>-0.03</formula>
    </cfRule>
  </conditionalFormatting>
  <conditionalFormatting sqref="Y63">
    <cfRule type="cellIs" dxfId="587" priority="25" operator="greaterThan">
      <formula>0.03</formula>
    </cfRule>
    <cfRule type="cellIs" dxfId="586" priority="26" stopIfTrue="1" operator="lessThan">
      <formula>-0.03</formula>
    </cfRule>
  </conditionalFormatting>
  <conditionalFormatting sqref="Z63">
    <cfRule type="cellIs" dxfId="585" priority="23" operator="greaterThan">
      <formula>0.03</formula>
    </cfRule>
    <cfRule type="cellIs" dxfId="584" priority="24" stopIfTrue="1" operator="lessThan">
      <formula>-0.03</formula>
    </cfRule>
  </conditionalFormatting>
  <conditionalFormatting sqref="AA63">
    <cfRule type="cellIs" dxfId="583" priority="21" operator="greaterThan">
      <formula>0.03</formula>
    </cfRule>
    <cfRule type="cellIs" dxfId="582" priority="22" stopIfTrue="1" operator="lessThan">
      <formula>-0.03</formula>
    </cfRule>
  </conditionalFormatting>
  <conditionalFormatting sqref="Y66:Z66">
    <cfRule type="cellIs" dxfId="581" priority="13" operator="greaterThan">
      <formula>0.03</formula>
    </cfRule>
    <cfRule type="cellIs" dxfId="580" priority="14" stopIfTrue="1" operator="lessThan">
      <formula>-0.03</formula>
    </cfRule>
  </conditionalFormatting>
  <conditionalFormatting sqref="Y67">
    <cfRule type="cellIs" dxfId="579" priority="19" operator="greaterThan">
      <formula>0.03</formula>
    </cfRule>
    <cfRule type="cellIs" dxfId="578" priority="20" stopIfTrue="1" operator="lessThan">
      <formula>-0.03</formula>
    </cfRule>
  </conditionalFormatting>
  <conditionalFormatting sqref="Z67">
    <cfRule type="cellIs" dxfId="577" priority="17" operator="greaterThan">
      <formula>0.03</formula>
    </cfRule>
    <cfRule type="cellIs" dxfId="576" priority="18" stopIfTrue="1" operator="lessThan">
      <formula>-0.03</formula>
    </cfRule>
  </conditionalFormatting>
  <conditionalFormatting sqref="AA67">
    <cfRule type="cellIs" dxfId="575" priority="15" operator="greaterThan">
      <formula>0.03</formula>
    </cfRule>
    <cfRule type="cellIs" dxfId="574" priority="16" stopIfTrue="1" operator="lessThan">
      <formula>-0.03</formula>
    </cfRule>
  </conditionalFormatting>
  <conditionalFormatting sqref="Y70:Z70">
    <cfRule type="cellIs" dxfId="573" priority="11" operator="greaterThan">
      <formula>0.03</formula>
    </cfRule>
    <cfRule type="cellIs" dxfId="572" priority="12" stopIfTrue="1" operator="lessThan">
      <formula>-0.03</formula>
    </cfRule>
  </conditionalFormatting>
  <conditionalFormatting sqref="Y71">
    <cfRule type="cellIs" dxfId="571" priority="7" operator="greaterThan">
      <formula>0.03</formula>
    </cfRule>
    <cfRule type="cellIs" dxfId="570" priority="8" stopIfTrue="1" operator="lessThan">
      <formula>-0.03</formula>
    </cfRule>
  </conditionalFormatting>
  <conditionalFormatting sqref="Z71">
    <cfRule type="cellIs" dxfId="569" priority="5" operator="greaterThan">
      <formula>0.03</formula>
    </cfRule>
    <cfRule type="cellIs" dxfId="568" priority="6" stopIfTrue="1" operator="lessThan">
      <formula>-0.03</formula>
    </cfRule>
  </conditionalFormatting>
  <conditionalFormatting sqref="AA71">
    <cfRule type="cellIs" dxfId="567" priority="3" operator="greaterThan">
      <formula>0.03</formula>
    </cfRule>
    <cfRule type="cellIs" dxfId="566" priority="4" stopIfTrue="1" operator="lessThan">
      <formula>-0.03</formula>
    </cfRule>
  </conditionalFormatting>
  <conditionalFormatting sqref="Y74:Z74">
    <cfRule type="cellIs" dxfId="565" priority="1" operator="greaterThan">
      <formula>0.03</formula>
    </cfRule>
    <cfRule type="cellIs" dxfId="564" priority="2" stopIfTrue="1" operator="lessThan">
      <formula>-0.03</formula>
    </cfRule>
  </conditionalFormatting>
  <conditionalFormatting sqref="V80:AA80">
    <cfRule type="cellIs" dxfId="563" priority="603" operator="greaterThan">
      <formula>0.03</formula>
    </cfRule>
    <cfRule type="cellIs" dxfId="562" priority="604" stopIfTrue="1" operator="lessThan">
      <formula>-0.03</formula>
    </cfRule>
  </conditionalFormatting>
  <conditionalFormatting sqref="V3:X14">
    <cfRule type="cellIs" dxfId="561" priority="1219" operator="greaterThan">
      <formula>0.03</formula>
    </cfRule>
    <cfRule type="cellIs" dxfId="560" priority="1220" stopIfTrue="1" operator="lessThan">
      <formula>-0.03</formula>
    </cfRule>
  </conditionalFormatting>
  <conditionalFormatting sqref="V15:X26">
    <cfRule type="cellIs" dxfId="559" priority="489" operator="greaterThan">
      <formula>0.03</formula>
    </cfRule>
    <cfRule type="cellIs" dxfId="558" priority="490" stopIfTrue="1" operator="lessThan">
      <formula>-0.03</formula>
    </cfRule>
  </conditionalFormatting>
  <conditionalFormatting sqref="V27:X30">
    <cfRule type="cellIs" dxfId="557" priority="415" operator="greaterThan">
      <formula>0.03</formula>
    </cfRule>
    <cfRule type="cellIs" dxfId="556" priority="416" stopIfTrue="1" operator="lessThan">
      <formula>-0.03</formula>
    </cfRule>
  </conditionalFormatting>
  <conditionalFormatting sqref="V31:X38">
    <cfRule type="cellIs" dxfId="555" priority="395" operator="greaterThan">
      <formula>0.03</formula>
    </cfRule>
    <cfRule type="cellIs" dxfId="554" priority="396" stopIfTrue="1" operator="lessThan">
      <formula>-0.03</formula>
    </cfRule>
  </conditionalFormatting>
  <conditionalFormatting sqref="V39:X46">
    <cfRule type="cellIs" dxfId="553" priority="357" operator="greaterThan">
      <formula>0.03</formula>
    </cfRule>
    <cfRule type="cellIs" dxfId="552" priority="358" stopIfTrue="1" operator="lessThan">
      <formula>-0.03</formula>
    </cfRule>
  </conditionalFormatting>
  <conditionalFormatting sqref="V47:X58">
    <cfRule type="cellIs" dxfId="551" priority="319" operator="greaterThan">
      <formula>0.03</formula>
    </cfRule>
    <cfRule type="cellIs" dxfId="550" priority="320" stopIfTrue="1" operator="lessThan">
      <formula>-0.03</formula>
    </cfRule>
  </conditionalFormatting>
  <conditionalFormatting sqref="V59:X62">
    <cfRule type="cellIs" dxfId="549" priority="37" operator="greaterThan">
      <formula>0.03</formula>
    </cfRule>
    <cfRule type="cellIs" dxfId="548" priority="38" stopIfTrue="1" operator="lessThan">
      <formula>-0.03</formula>
    </cfRule>
  </conditionalFormatting>
  <conditionalFormatting sqref="V63:X70">
    <cfRule type="cellIs" dxfId="547" priority="27" operator="greaterThan">
      <formula>0.03</formula>
    </cfRule>
    <cfRule type="cellIs" dxfId="546" priority="28" stopIfTrue="1" operator="lessThan">
      <formula>-0.03</formula>
    </cfRule>
  </conditionalFormatting>
  <conditionalFormatting sqref="V71:X74">
    <cfRule type="cellIs" dxfId="545" priority="9" operator="greaterThan">
      <formula>0.03</formula>
    </cfRule>
    <cfRule type="cellIs" dxfId="544" priority="10" stopIfTrue="1" operator="lessThan">
      <formula>-0.03</formula>
    </cfRule>
  </conditionalFormatting>
  <conditionalFormatting sqref="V75:X79">
    <cfRule type="cellIs" dxfId="543" priority="41" operator="greaterThan">
      <formula>0.03</formula>
    </cfRule>
    <cfRule type="cellIs" dxfId="542" priority="42" stopIfTrue="1" operator="lessThan">
      <formula>-0.03</formula>
    </cfRule>
  </conditionalFormatting>
  <conditionalFormatting sqref="Y75:AA79">
    <cfRule type="cellIs" dxfId="541" priority="39" operator="greaterThan">
      <formula>0.03</formula>
    </cfRule>
    <cfRule type="cellIs" dxfId="540" priority="40" stopIfTrue="1" operator="lessThan">
      <formula>-0.03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topLeftCell="A28" zoomScale="85" zoomScaleNormal="85" workbookViewId="0">
      <selection activeCell="L30" sqref="L30"/>
    </sheetView>
  </sheetViews>
  <sheetFormatPr defaultColWidth="10.83203125" defaultRowHeight="11.5" x14ac:dyDescent="0.25"/>
  <cols>
    <col min="1" max="1" width="8.33203125" style="3" customWidth="1"/>
    <col min="2" max="2" width="14.83203125" style="3" customWidth="1"/>
    <col min="3" max="3" width="7.83203125" style="3" customWidth="1"/>
    <col min="4" max="4" width="9.83203125" style="3" customWidth="1"/>
    <col min="5" max="7" width="6.83203125" style="3" customWidth="1"/>
    <col min="8" max="10" width="8.83203125" style="3" customWidth="1"/>
    <col min="11" max="11" width="2.83203125" style="3" customWidth="1"/>
    <col min="12" max="12" width="9.83203125" style="3" customWidth="1"/>
    <col min="13" max="15" width="6.83203125" style="3" customWidth="1"/>
    <col min="16" max="18" width="8.83203125" style="3" customWidth="1"/>
    <col min="19" max="20" width="5.08203125" style="3" customWidth="1"/>
    <col min="21" max="21" width="2.83203125" style="3" customWidth="1"/>
    <col min="22" max="27" width="8.83203125" style="3" customWidth="1"/>
    <col min="28" max="16384" width="10.83203125" style="3"/>
  </cols>
  <sheetData>
    <row r="1" spans="1:27" ht="12" thickBot="1" x14ac:dyDescent="0.3">
      <c r="D1" s="212" t="s">
        <v>62</v>
      </c>
      <c r="E1" s="213"/>
      <c r="F1" s="213"/>
      <c r="G1" s="213"/>
      <c r="H1" s="213"/>
      <c r="I1" s="213"/>
      <c r="J1" s="214"/>
      <c r="L1" s="212" t="s">
        <v>63</v>
      </c>
      <c r="M1" s="213"/>
      <c r="N1" s="213"/>
      <c r="O1" s="213"/>
      <c r="P1" s="213"/>
      <c r="Q1" s="213"/>
      <c r="R1" s="214"/>
      <c r="S1" s="30"/>
      <c r="T1" s="30"/>
      <c r="U1" s="26"/>
      <c r="V1" s="212" t="s">
        <v>64</v>
      </c>
      <c r="W1" s="213"/>
      <c r="X1" s="214"/>
      <c r="Y1" s="212" t="s">
        <v>65</v>
      </c>
      <c r="Z1" s="213"/>
      <c r="AA1" s="214"/>
    </row>
    <row r="2" spans="1:27" ht="12" thickBot="1" x14ac:dyDescent="0.3">
      <c r="A2" s="4"/>
      <c r="B2" s="5"/>
      <c r="C2" s="6" t="s">
        <v>66</v>
      </c>
      <c r="D2" s="7" t="s">
        <v>34</v>
      </c>
      <c r="E2" s="8" t="s">
        <v>35</v>
      </c>
      <c r="F2" s="8" t="s">
        <v>36</v>
      </c>
      <c r="G2" s="8" t="s">
        <v>37</v>
      </c>
      <c r="H2" s="8" t="s">
        <v>67</v>
      </c>
      <c r="I2" s="8" t="s">
        <v>68</v>
      </c>
      <c r="J2" s="25" t="s">
        <v>69</v>
      </c>
      <c r="K2" s="26"/>
      <c r="L2" s="7" t="s">
        <v>34</v>
      </c>
      <c r="M2" s="8" t="s">
        <v>35</v>
      </c>
      <c r="N2" s="8" t="s">
        <v>36</v>
      </c>
      <c r="O2" s="8" t="s">
        <v>37</v>
      </c>
      <c r="P2" s="8" t="s">
        <v>67</v>
      </c>
      <c r="Q2" s="8" t="s">
        <v>68</v>
      </c>
      <c r="R2" s="25" t="s">
        <v>69</v>
      </c>
      <c r="S2" s="31" t="s">
        <v>89</v>
      </c>
      <c r="T2" s="31" t="s">
        <v>90</v>
      </c>
      <c r="U2" s="31"/>
      <c r="V2" s="7" t="s">
        <v>2</v>
      </c>
      <c r="W2" s="8" t="s">
        <v>3</v>
      </c>
      <c r="X2" s="25" t="s">
        <v>4</v>
      </c>
      <c r="Y2" s="7" t="s">
        <v>2</v>
      </c>
      <c r="Z2" s="8" t="s">
        <v>3</v>
      </c>
      <c r="AA2" s="25" t="s">
        <v>4</v>
      </c>
    </row>
    <row r="3" spans="1:27" ht="12" x14ac:dyDescent="0.25">
      <c r="A3" s="9" t="s">
        <v>7</v>
      </c>
      <c r="B3" s="6" t="s">
        <v>39</v>
      </c>
      <c r="C3" s="10">
        <v>43</v>
      </c>
      <c r="D3" s="11"/>
      <c r="E3" s="12"/>
      <c r="F3" s="12"/>
      <c r="G3" s="12"/>
      <c r="H3" s="12"/>
      <c r="I3" s="12"/>
      <c r="J3" s="27"/>
      <c r="L3" s="11">
        <f>Test!B73</f>
        <v>14776.291999999999</v>
      </c>
      <c r="M3" s="12">
        <f>Test!C73</f>
        <v>40.0762</v>
      </c>
      <c r="N3" s="12">
        <f>Test!D73</f>
        <v>48.928400000000003</v>
      </c>
      <c r="O3" s="12">
        <f>Test!E73</f>
        <v>46.9236</v>
      </c>
      <c r="P3" s="12">
        <f>Test!F73</f>
        <v>242486.18799999999</v>
      </c>
      <c r="Q3" s="12">
        <f>Test!G73</f>
        <v>62.804000000000002</v>
      </c>
      <c r="R3" s="27">
        <f>P3/3600</f>
        <v>67.357274444444442</v>
      </c>
      <c r="S3" s="11" t="e">
        <f t="shared" ref="S3:S34" si="0">P3/H3</f>
        <v>#DIV/0!</v>
      </c>
      <c r="T3" s="12" t="e">
        <f t="shared" ref="T3:T34" si="1">Q3/I3</f>
        <v>#DIV/0!</v>
      </c>
      <c r="U3" s="32"/>
      <c r="V3" s="33" t="e">
        <f>bdrate($D3:$D6,E3:E6,$L3:$L6,M3:M6)</f>
        <v>#VALUE!</v>
      </c>
      <c r="W3" s="34" t="e">
        <f>bdrate($D3:$D6,F3:F6,$L3:$L6,N3:N6)</f>
        <v>#VALUE!</v>
      </c>
      <c r="X3" s="35" t="e">
        <f>bdrate($D3:$D6,G3:G6,$L3:$L6,O3:O6)</f>
        <v>#VALUE!</v>
      </c>
      <c r="Y3" s="33" t="e">
        <f>bdrateOld($D3:$D6,E3:E6,$L3:$L6,M3:M6)</f>
        <v>#VALUE!</v>
      </c>
      <c r="Z3" s="34" t="e">
        <f>bdrateOld($D3:$D6,F3:F6,$L3:$L6,N3:N6)</f>
        <v>#VALUE!</v>
      </c>
      <c r="AA3" s="35" t="e">
        <f>bdrateOld($D3:$D6,G3:G6,$L3:$L6,O3:O6)</f>
        <v>#VALUE!</v>
      </c>
    </row>
    <row r="4" spans="1:27" x14ac:dyDescent="0.25">
      <c r="A4" s="13" t="s">
        <v>72</v>
      </c>
      <c r="B4" s="14"/>
      <c r="C4" s="13">
        <v>48</v>
      </c>
      <c r="D4" s="15"/>
      <c r="E4" s="16"/>
      <c r="F4" s="16"/>
      <c r="G4" s="16"/>
      <c r="H4" s="16"/>
      <c r="I4" s="16"/>
      <c r="J4" s="28"/>
      <c r="L4" s="15">
        <f>Test!B74</f>
        <v>6654.3280000000004</v>
      </c>
      <c r="M4" s="16">
        <f>Test!C74</f>
        <v>39.5745</v>
      </c>
      <c r="N4" s="16">
        <f>Test!D74</f>
        <v>48.320799999999998</v>
      </c>
      <c r="O4" s="16">
        <f>Test!E74</f>
        <v>46.055</v>
      </c>
      <c r="P4" s="16">
        <f>Test!F74</f>
        <v>137992.516</v>
      </c>
      <c r="Q4" s="16">
        <f>Test!G74</f>
        <v>60.268000000000001</v>
      </c>
      <c r="R4" s="28">
        <f t="shared" ref="R4:R15" si="2">P4/3600</f>
        <v>38.331254444444447</v>
      </c>
      <c r="S4" s="15" t="e">
        <f t="shared" si="0"/>
        <v>#DIV/0!</v>
      </c>
      <c r="T4" s="16" t="e">
        <f t="shared" si="1"/>
        <v>#DIV/0!</v>
      </c>
      <c r="U4" s="36"/>
      <c r="V4" s="37"/>
      <c r="W4" s="38"/>
      <c r="X4" s="39"/>
      <c r="Y4" s="37"/>
      <c r="Z4" s="38"/>
      <c r="AA4" s="39"/>
    </row>
    <row r="5" spans="1:27" x14ac:dyDescent="0.25">
      <c r="A5" s="13"/>
      <c r="B5" s="14"/>
      <c r="C5" s="13">
        <v>54</v>
      </c>
      <c r="D5" s="15"/>
      <c r="E5" s="16"/>
      <c r="F5" s="16"/>
      <c r="G5" s="16"/>
      <c r="H5" s="16"/>
      <c r="I5" s="16"/>
      <c r="J5" s="28"/>
      <c r="L5" s="15">
        <f>Test!B75</f>
        <v>3707.6680000000001</v>
      </c>
      <c r="M5" s="16">
        <f>Test!C75</f>
        <v>38.7149</v>
      </c>
      <c r="N5" s="16">
        <f>Test!D75</f>
        <v>47.332099999999997</v>
      </c>
      <c r="O5" s="16">
        <f>Test!E75</f>
        <v>44.725700000000003</v>
      </c>
      <c r="P5" s="16">
        <f>Test!F75</f>
        <v>73149.335999999996</v>
      </c>
      <c r="Q5" s="16">
        <f>Test!G75</f>
        <v>58.652999999999999</v>
      </c>
      <c r="R5" s="28">
        <f t="shared" si="2"/>
        <v>20.31926</v>
      </c>
      <c r="S5" s="15" t="e">
        <f t="shared" si="0"/>
        <v>#DIV/0!</v>
      </c>
      <c r="T5" s="16" t="e">
        <f t="shared" si="1"/>
        <v>#DIV/0!</v>
      </c>
      <c r="U5" s="36"/>
      <c r="V5" s="37"/>
      <c r="W5" s="38"/>
      <c r="X5" s="39"/>
      <c r="Y5" s="37"/>
      <c r="Z5" s="38"/>
      <c r="AA5" s="39"/>
    </row>
    <row r="6" spans="1:27" ht="12" thickBot="1" x14ac:dyDescent="0.3">
      <c r="A6" s="13"/>
      <c r="B6" s="17"/>
      <c r="C6" s="18">
        <v>61</v>
      </c>
      <c r="D6" s="19"/>
      <c r="E6" s="20"/>
      <c r="F6" s="20"/>
      <c r="G6" s="20"/>
      <c r="H6" s="20"/>
      <c r="I6" s="20"/>
      <c r="J6" s="29"/>
      <c r="L6" s="19">
        <f>Test!B76</f>
        <v>1956.768</v>
      </c>
      <c r="M6" s="20">
        <f>Test!C76</f>
        <v>37.193800000000003</v>
      </c>
      <c r="N6" s="20">
        <f>Test!D76</f>
        <v>45.044400000000003</v>
      </c>
      <c r="O6" s="20">
        <f>Test!E76</f>
        <v>43.079900000000002</v>
      </c>
      <c r="P6" s="20">
        <f>Test!F76</f>
        <v>38040.836000000003</v>
      </c>
      <c r="Q6" s="20">
        <f>Test!G76</f>
        <v>54.853999999999999</v>
      </c>
      <c r="R6" s="29">
        <f t="shared" si="2"/>
        <v>10.56689888888889</v>
      </c>
      <c r="S6" s="15" t="e">
        <f t="shared" si="0"/>
        <v>#DIV/0!</v>
      </c>
      <c r="T6" s="16" t="e">
        <f t="shared" si="1"/>
        <v>#DIV/0!</v>
      </c>
      <c r="U6" s="36"/>
      <c r="V6" s="40"/>
      <c r="W6" s="41"/>
      <c r="X6" s="42"/>
      <c r="Y6" s="40"/>
      <c r="Z6" s="41"/>
      <c r="AA6" s="42"/>
    </row>
    <row r="7" spans="1:27" x14ac:dyDescent="0.25">
      <c r="A7" s="13"/>
      <c r="B7" s="6" t="s">
        <v>40</v>
      </c>
      <c r="C7" s="10">
        <v>43</v>
      </c>
      <c r="D7" s="11"/>
      <c r="E7" s="12"/>
      <c r="F7" s="12"/>
      <c r="G7" s="12"/>
      <c r="H7" s="12"/>
      <c r="I7" s="12"/>
      <c r="J7" s="27"/>
      <c r="L7" s="11">
        <f>Test!B77</f>
        <v>161153.64799999999</v>
      </c>
      <c r="M7" s="12">
        <f>Test!C77</f>
        <v>38.875</v>
      </c>
      <c r="N7" s="12">
        <f>Test!D77</f>
        <v>37.742699999999999</v>
      </c>
      <c r="O7" s="12">
        <f>Test!E77</f>
        <v>36.594499999999996</v>
      </c>
      <c r="P7" s="12">
        <f>Test!F77</f>
        <v>551143.75</v>
      </c>
      <c r="Q7" s="12">
        <f>Test!G77</f>
        <v>71.150000000000006</v>
      </c>
      <c r="R7" s="27">
        <f t="shared" si="2"/>
        <v>153.09548611111111</v>
      </c>
      <c r="S7" s="15" t="e">
        <f t="shared" si="0"/>
        <v>#DIV/0!</v>
      </c>
      <c r="T7" s="16" t="e">
        <f t="shared" si="1"/>
        <v>#DIV/0!</v>
      </c>
      <c r="U7" s="36"/>
      <c r="V7" s="33" t="e">
        <f>bdrate($D7:$D10,E7:E10,$L7:$L10,M7:M10)</f>
        <v>#VALUE!</v>
      </c>
      <c r="W7" s="34" t="e">
        <f>bdrate($D7:$D10,F7:F10,$L7:$L10,N7:N10)</f>
        <v>#VALUE!</v>
      </c>
      <c r="X7" s="34" t="e">
        <f>bdrate($D7:$D10,G7:G10,$L7:$L10,O7:O10)</f>
        <v>#VALUE!</v>
      </c>
      <c r="Y7" s="44" t="e">
        <f>bdrateOld($D7:$D10,E7:E10,$L7:$L10,M7:M10)</f>
        <v>#VALUE!</v>
      </c>
      <c r="Z7" s="45" t="e">
        <f>bdrateOld($D7:$D10,F7:F10,$L7:$L10,N7:N10)</f>
        <v>#VALUE!</v>
      </c>
      <c r="AA7" s="46" t="e">
        <f>bdrateOld($D7:$D10,G7:G10,$L7:$L10,O7:O10)</f>
        <v>#VALUE!</v>
      </c>
    </row>
    <row r="8" spans="1:27" x14ac:dyDescent="0.25">
      <c r="A8" s="13"/>
      <c r="B8" s="14"/>
      <c r="C8" s="13">
        <v>48</v>
      </c>
      <c r="D8" s="15"/>
      <c r="E8" s="16"/>
      <c r="F8" s="16"/>
      <c r="G8" s="16"/>
      <c r="H8" s="16"/>
      <c r="I8" s="16"/>
      <c r="J8" s="28"/>
      <c r="L8" s="15">
        <f>Test!B78</f>
        <v>82355.323999999993</v>
      </c>
      <c r="M8" s="16">
        <f>Test!C78</f>
        <v>36.3551</v>
      </c>
      <c r="N8" s="16">
        <f>Test!D78</f>
        <v>35.076099999999997</v>
      </c>
      <c r="O8" s="16">
        <f>Test!E78</f>
        <v>34.065300000000001</v>
      </c>
      <c r="P8" s="16">
        <f>Test!F78</f>
        <v>410595.84399999998</v>
      </c>
      <c r="Q8" s="16">
        <f>Test!G78</f>
        <v>63.34</v>
      </c>
      <c r="R8" s="28">
        <f t="shared" si="2"/>
        <v>114.0544011111111</v>
      </c>
      <c r="S8" s="15" t="e">
        <f t="shared" si="0"/>
        <v>#DIV/0!</v>
      </c>
      <c r="T8" s="16" t="e">
        <f t="shared" si="1"/>
        <v>#DIV/0!</v>
      </c>
      <c r="U8" s="36"/>
      <c r="V8" s="37"/>
      <c r="W8" s="38"/>
      <c r="X8" s="38"/>
      <c r="Y8" s="37"/>
      <c r="Z8" s="38"/>
      <c r="AA8" s="39"/>
    </row>
    <row r="9" spans="1:27" x14ac:dyDescent="0.25">
      <c r="A9" s="13"/>
      <c r="B9" s="14"/>
      <c r="C9" s="13">
        <v>54</v>
      </c>
      <c r="D9" s="15"/>
      <c r="E9" s="16"/>
      <c r="F9" s="16"/>
      <c r="G9" s="16"/>
      <c r="H9" s="16"/>
      <c r="I9" s="16"/>
      <c r="J9" s="28"/>
      <c r="L9" s="15">
        <f>Test!B79</f>
        <v>38021.879999999997</v>
      </c>
      <c r="M9" s="16">
        <f>Test!C79</f>
        <v>33.748800000000003</v>
      </c>
      <c r="N9" s="16">
        <f>Test!D79</f>
        <v>33.056199999999997</v>
      </c>
      <c r="O9" s="16">
        <f>Test!E79</f>
        <v>32.277799999999999</v>
      </c>
      <c r="P9" s="16">
        <f>Test!F79</f>
        <v>265108.18800000002</v>
      </c>
      <c r="Q9" s="16">
        <f>Test!G79</f>
        <v>58.320999999999998</v>
      </c>
      <c r="R9" s="28">
        <f t="shared" si="2"/>
        <v>73.641163333333338</v>
      </c>
      <c r="S9" s="15" t="e">
        <f t="shared" si="0"/>
        <v>#DIV/0!</v>
      </c>
      <c r="T9" s="16" t="e">
        <f t="shared" si="1"/>
        <v>#DIV/0!</v>
      </c>
      <c r="U9" s="36"/>
      <c r="V9" s="37"/>
      <c r="W9" s="38"/>
      <c r="X9" s="38"/>
      <c r="Y9" s="37"/>
      <c r="Z9" s="38"/>
      <c r="AA9" s="39"/>
    </row>
    <row r="10" spans="1:27" ht="12" thickBot="1" x14ac:dyDescent="0.3">
      <c r="A10" s="13"/>
      <c r="B10" s="17"/>
      <c r="C10" s="18">
        <v>61</v>
      </c>
      <c r="D10" s="19"/>
      <c r="E10" s="20"/>
      <c r="F10" s="20"/>
      <c r="G10" s="20"/>
      <c r="H10" s="20"/>
      <c r="I10" s="20"/>
      <c r="J10" s="29"/>
      <c r="L10" s="19">
        <f>Test!B80</f>
        <v>16150.68</v>
      </c>
      <c r="M10" s="20">
        <f>Test!C80</f>
        <v>31.172000000000001</v>
      </c>
      <c r="N10" s="20">
        <f>Test!D80</f>
        <v>31.455300000000001</v>
      </c>
      <c r="O10" s="20">
        <f>Test!E80</f>
        <v>30.967300000000002</v>
      </c>
      <c r="P10" s="20">
        <f>Test!F80</f>
        <v>148825.109</v>
      </c>
      <c r="Q10" s="20">
        <f>Test!G80</f>
        <v>32.317999999999998</v>
      </c>
      <c r="R10" s="29">
        <f t="shared" si="2"/>
        <v>41.340308055555553</v>
      </c>
      <c r="S10" s="15" t="e">
        <f t="shared" si="0"/>
        <v>#DIV/0!</v>
      </c>
      <c r="T10" s="16" t="e">
        <f t="shared" si="1"/>
        <v>#DIV/0!</v>
      </c>
      <c r="U10" s="36"/>
      <c r="V10" s="40"/>
      <c r="W10" s="41"/>
      <c r="X10" s="41"/>
      <c r="Y10" s="40"/>
      <c r="Z10" s="41"/>
      <c r="AA10" s="42"/>
    </row>
    <row r="11" spans="1:27" x14ac:dyDescent="0.25">
      <c r="A11" s="21"/>
      <c r="B11" s="22" t="s">
        <v>42</v>
      </c>
      <c r="C11" s="10">
        <v>43</v>
      </c>
      <c r="D11" s="11"/>
      <c r="E11" s="12"/>
      <c r="F11" s="12"/>
      <c r="G11" s="12"/>
      <c r="H11" s="12"/>
      <c r="I11" s="12"/>
      <c r="J11" s="27"/>
      <c r="L11" s="11">
        <f>Test!B81</f>
        <v>71584.356</v>
      </c>
      <c r="M11" s="12">
        <f>Test!C81</f>
        <v>38.753799999999998</v>
      </c>
      <c r="N11" s="12">
        <f>Test!D81</f>
        <v>37.430500000000002</v>
      </c>
      <c r="O11" s="12">
        <f>Test!E81</f>
        <v>37.3279</v>
      </c>
      <c r="P11" s="12">
        <f>Test!F81</f>
        <v>293787.06300000002</v>
      </c>
      <c r="Q11" s="12">
        <f>Test!G81</f>
        <v>37.432000000000002</v>
      </c>
      <c r="R11" s="27">
        <f t="shared" si="2"/>
        <v>81.6075175</v>
      </c>
      <c r="S11" s="15" t="e">
        <f t="shared" si="0"/>
        <v>#DIV/0!</v>
      </c>
      <c r="T11" s="16" t="e">
        <f t="shared" si="1"/>
        <v>#DIV/0!</v>
      </c>
      <c r="U11" s="36"/>
      <c r="V11" s="33" t="e">
        <f>bdrate($D11:$D14,E11:E14,$L11:$L14,M11:M14)</f>
        <v>#VALUE!</v>
      </c>
      <c r="W11" s="34" t="e">
        <f>bdrate($D11:$D14,F11:F14,$L11:$L14,N11:N14)</f>
        <v>#VALUE!</v>
      </c>
      <c r="X11" s="34" t="e">
        <f>bdrate($D11:$D14,G11:G14,$L11:$L14,O11:O14)</f>
        <v>#VALUE!</v>
      </c>
      <c r="Y11" s="44" t="e">
        <f>bdrateOld($D11:$D14,E11:E14,$L11:$L14,M11:M14)</f>
        <v>#VALUE!</v>
      </c>
      <c r="Z11" s="45" t="e">
        <f>bdrateOld($D11:$D14,F11:F14,$L11:$L14,N11:N14)</f>
        <v>#VALUE!</v>
      </c>
      <c r="AA11" s="46" t="e">
        <f>bdrateOld($D11:$D14,G11:G14,$L11:$L14,O11:O14)</f>
        <v>#VALUE!</v>
      </c>
    </row>
    <row r="12" spans="1:27" x14ac:dyDescent="0.25">
      <c r="A12" s="21"/>
      <c r="B12" s="23"/>
      <c r="C12" s="13">
        <v>48</v>
      </c>
      <c r="D12" s="15"/>
      <c r="E12" s="16"/>
      <c r="F12" s="16"/>
      <c r="G12" s="16"/>
      <c r="H12" s="16"/>
      <c r="I12" s="16"/>
      <c r="J12" s="28"/>
      <c r="L12" s="15">
        <f>Test!B82</f>
        <v>37339.224000000002</v>
      </c>
      <c r="M12" s="16">
        <f>Test!C82</f>
        <v>36.966900000000003</v>
      </c>
      <c r="N12" s="16">
        <f>Test!D82</f>
        <v>35.548299999999998</v>
      </c>
      <c r="O12" s="16">
        <f>Test!E82</f>
        <v>35.5259</v>
      </c>
      <c r="P12" s="16">
        <f>Test!F82</f>
        <v>204654.84400000001</v>
      </c>
      <c r="Q12" s="16">
        <f>Test!G82</f>
        <v>33.465000000000003</v>
      </c>
      <c r="R12" s="28">
        <f t="shared" si="2"/>
        <v>56.848567777777781</v>
      </c>
      <c r="S12" s="15" t="e">
        <f t="shared" si="0"/>
        <v>#DIV/0!</v>
      </c>
      <c r="T12" s="16" t="e">
        <f t="shared" si="1"/>
        <v>#DIV/0!</v>
      </c>
      <c r="U12" s="36"/>
      <c r="V12" s="37"/>
      <c r="W12" s="38"/>
      <c r="X12" s="38"/>
      <c r="Y12" s="37"/>
      <c r="Z12" s="38"/>
      <c r="AA12" s="39"/>
    </row>
    <row r="13" spans="1:27" x14ac:dyDescent="0.25">
      <c r="A13" s="21"/>
      <c r="B13" s="23"/>
      <c r="C13" s="13">
        <v>54</v>
      </c>
      <c r="D13" s="15"/>
      <c r="E13" s="16"/>
      <c r="F13" s="16"/>
      <c r="G13" s="16"/>
      <c r="H13" s="16"/>
      <c r="I13" s="16"/>
      <c r="J13" s="28"/>
      <c r="L13" s="15">
        <f>Test!B83</f>
        <v>18546.84</v>
      </c>
      <c r="M13" s="16">
        <f>Test!C83</f>
        <v>34.801200000000001</v>
      </c>
      <c r="N13" s="16">
        <f>Test!D83</f>
        <v>33.965200000000003</v>
      </c>
      <c r="O13" s="16">
        <f>Test!E83</f>
        <v>34.001199999999997</v>
      </c>
      <c r="P13" s="16">
        <f>Test!F83</f>
        <v>131505.45300000001</v>
      </c>
      <c r="Q13" s="16">
        <f>Test!G83</f>
        <v>30.748999999999999</v>
      </c>
      <c r="R13" s="28">
        <f t="shared" si="2"/>
        <v>36.529292500000004</v>
      </c>
      <c r="S13" s="15" t="e">
        <f t="shared" si="0"/>
        <v>#DIV/0!</v>
      </c>
      <c r="T13" s="16" t="e">
        <f t="shared" si="1"/>
        <v>#DIV/0!</v>
      </c>
      <c r="U13" s="36"/>
      <c r="V13" s="37"/>
      <c r="W13" s="38"/>
      <c r="X13" s="38"/>
      <c r="Y13" s="37"/>
      <c r="Z13" s="38"/>
      <c r="AA13" s="39"/>
    </row>
    <row r="14" spans="1:27" ht="12" thickBot="1" x14ac:dyDescent="0.3">
      <c r="A14" s="21"/>
      <c r="B14" s="24"/>
      <c r="C14" s="18">
        <v>61</v>
      </c>
      <c r="D14" s="19"/>
      <c r="E14" s="20"/>
      <c r="F14" s="20"/>
      <c r="G14" s="20"/>
      <c r="H14" s="20"/>
      <c r="I14" s="20"/>
      <c r="J14" s="29"/>
      <c r="L14" s="19">
        <f>Test!B84</f>
        <v>9078.232</v>
      </c>
      <c r="M14" s="20">
        <f>Test!C84</f>
        <v>32.445099999999996</v>
      </c>
      <c r="N14" s="20">
        <f>Test!D84</f>
        <v>32.599800000000002</v>
      </c>
      <c r="O14" s="20">
        <f>Test!E84</f>
        <v>32.571899999999999</v>
      </c>
      <c r="P14" s="20">
        <f>Test!F84</f>
        <v>77884.767999999996</v>
      </c>
      <c r="Q14" s="20">
        <f>Test!G84</f>
        <v>28.782</v>
      </c>
      <c r="R14" s="29">
        <f t="shared" si="2"/>
        <v>21.634657777777775</v>
      </c>
      <c r="S14" s="15" t="e">
        <f t="shared" si="0"/>
        <v>#DIV/0!</v>
      </c>
      <c r="T14" s="16" t="e">
        <f t="shared" si="1"/>
        <v>#DIV/0!</v>
      </c>
      <c r="U14" s="36"/>
      <c r="V14" s="40"/>
      <c r="W14" s="41"/>
      <c r="X14" s="41"/>
      <c r="Y14" s="40"/>
      <c r="Z14" s="41"/>
      <c r="AA14" s="42"/>
    </row>
    <row r="15" spans="1:27" x14ac:dyDescent="0.25">
      <c r="A15" s="13"/>
      <c r="B15" s="6" t="s">
        <v>44</v>
      </c>
      <c r="C15" s="10">
        <v>43</v>
      </c>
      <c r="D15" s="11"/>
      <c r="E15" s="12"/>
      <c r="F15" s="12"/>
      <c r="G15" s="12"/>
      <c r="H15" s="12"/>
      <c r="I15" s="12"/>
      <c r="J15" s="27"/>
      <c r="L15" s="11">
        <f>Test!B85</f>
        <v>25547.907999999999</v>
      </c>
      <c r="M15" s="12">
        <f>Test!C85</f>
        <v>37.607300000000002</v>
      </c>
      <c r="N15" s="12">
        <f>Test!D85</f>
        <v>45.142600000000002</v>
      </c>
      <c r="O15" s="12">
        <f>Test!E85</f>
        <v>42.770699999999998</v>
      </c>
      <c r="P15" s="12">
        <f>Test!F85</f>
        <v>341660.09399999998</v>
      </c>
      <c r="Q15" s="12">
        <f>Test!G85</f>
        <v>63.301000000000002</v>
      </c>
      <c r="R15" s="27">
        <f t="shared" si="2"/>
        <v>94.905581666666663</v>
      </c>
      <c r="S15" s="15" t="e">
        <f t="shared" si="0"/>
        <v>#DIV/0!</v>
      </c>
      <c r="T15" s="16" t="e">
        <f t="shared" si="1"/>
        <v>#DIV/0!</v>
      </c>
      <c r="U15" s="36"/>
      <c r="V15" s="33" t="e">
        <f>bdrate($D15:$D18,E15:E18,$L15:$L18,M15:M18)</f>
        <v>#VALUE!</v>
      </c>
      <c r="W15" s="34" t="e">
        <f>bdrate($D15:$D18,F15:F18,$L15:$L18,N15:N18)</f>
        <v>#VALUE!</v>
      </c>
      <c r="X15" s="35" t="e">
        <f>bdrate($D15:$D18,G15:G18,$L15:$L18,O15:O18)</f>
        <v>#VALUE!</v>
      </c>
      <c r="Y15" s="33" t="e">
        <f>bdrateOld($D15:$D18,E15:E18,$L15:$L18,M15:M18)</f>
        <v>#VALUE!</v>
      </c>
      <c r="Z15" s="34" t="e">
        <f>bdrateOld($D15:$D18,F15:F18,$L15:$L18,N15:N18)</f>
        <v>#VALUE!</v>
      </c>
      <c r="AA15" s="35" t="e">
        <f>bdrateOld($D15:$D18,G15:G18,$L15:$L18,O15:O18)</f>
        <v>#VALUE!</v>
      </c>
    </row>
    <row r="16" spans="1:27" x14ac:dyDescent="0.25">
      <c r="A16" s="13"/>
      <c r="B16" s="14"/>
      <c r="C16" s="13">
        <v>48</v>
      </c>
      <c r="D16" s="15"/>
      <c r="E16" s="16"/>
      <c r="F16" s="16"/>
      <c r="G16" s="16"/>
      <c r="H16" s="16"/>
      <c r="I16" s="16"/>
      <c r="J16" s="28"/>
      <c r="L16" s="15">
        <f>Test!B86</f>
        <v>9251.74</v>
      </c>
      <c r="M16" s="16">
        <f>Test!C86</f>
        <v>37.043100000000003</v>
      </c>
      <c r="N16" s="16">
        <f>Test!D86</f>
        <v>44.527900000000002</v>
      </c>
      <c r="O16" s="16">
        <f>Test!E86</f>
        <v>42.091500000000003</v>
      </c>
      <c r="P16" s="16">
        <f>Test!F86</f>
        <v>201980.359</v>
      </c>
      <c r="Q16" s="16">
        <f>Test!G86</f>
        <v>63.527000000000001</v>
      </c>
      <c r="R16" s="28">
        <f t="shared" ref="R16:R27" si="3">P16/3600</f>
        <v>56.105655277777778</v>
      </c>
      <c r="S16" s="15" t="e">
        <f t="shared" si="0"/>
        <v>#DIV/0!</v>
      </c>
      <c r="T16" s="16" t="e">
        <f t="shared" si="1"/>
        <v>#DIV/0!</v>
      </c>
      <c r="U16" s="36"/>
      <c r="V16" s="37"/>
      <c r="W16" s="38"/>
      <c r="X16" s="39"/>
      <c r="Y16" s="37"/>
      <c r="Z16" s="38"/>
      <c r="AA16" s="39"/>
    </row>
    <row r="17" spans="1:27" x14ac:dyDescent="0.25">
      <c r="A17" s="13"/>
      <c r="B17" s="14"/>
      <c r="C17" s="13">
        <v>54</v>
      </c>
      <c r="D17" s="15"/>
      <c r="E17" s="16"/>
      <c r="F17" s="16"/>
      <c r="G17" s="16"/>
      <c r="H17" s="16"/>
      <c r="I17" s="16"/>
      <c r="J17" s="28"/>
      <c r="L17" s="15">
        <f>Test!B87</f>
        <v>4561.8280000000004</v>
      </c>
      <c r="M17" s="16">
        <f>Test!C87</f>
        <v>36.1813</v>
      </c>
      <c r="N17" s="16">
        <f>Test!D87</f>
        <v>43.593499999999999</v>
      </c>
      <c r="O17" s="16">
        <f>Test!E87</f>
        <v>41.091799999999999</v>
      </c>
      <c r="P17" s="16">
        <f>Test!F87</f>
        <v>111927.781</v>
      </c>
      <c r="Q17" s="16">
        <f>Test!G87</f>
        <v>55.962000000000003</v>
      </c>
      <c r="R17" s="28">
        <f t="shared" si="3"/>
        <v>31.091050277777779</v>
      </c>
      <c r="S17" s="15" t="e">
        <f t="shared" si="0"/>
        <v>#DIV/0!</v>
      </c>
      <c r="T17" s="16" t="e">
        <f t="shared" si="1"/>
        <v>#DIV/0!</v>
      </c>
      <c r="U17" s="36"/>
      <c r="V17" s="37"/>
      <c r="W17" s="38"/>
      <c r="X17" s="39"/>
      <c r="Y17" s="37"/>
      <c r="Z17" s="38"/>
      <c r="AA17" s="39"/>
    </row>
    <row r="18" spans="1:27" ht="12" thickBot="1" x14ac:dyDescent="0.3">
      <c r="A18" s="13"/>
      <c r="B18" s="17"/>
      <c r="C18" s="18">
        <v>61</v>
      </c>
      <c r="D18" s="19"/>
      <c r="E18" s="20"/>
      <c r="F18" s="20"/>
      <c r="G18" s="20"/>
      <c r="H18" s="20"/>
      <c r="I18" s="20"/>
      <c r="J18" s="29"/>
      <c r="L18" s="19">
        <f>Test!B88</f>
        <v>2201.0030000000002</v>
      </c>
      <c r="M18" s="20">
        <f>Test!C88</f>
        <v>34.712499999999999</v>
      </c>
      <c r="N18" s="20">
        <f>Test!D88</f>
        <v>42.307000000000002</v>
      </c>
      <c r="O18" s="20">
        <f>Test!E88</f>
        <v>39.839199999999998</v>
      </c>
      <c r="P18" s="20">
        <f>Test!F88</f>
        <v>55236.574000000001</v>
      </c>
      <c r="Q18" s="20">
        <f>Test!G88</f>
        <v>55.201000000000001</v>
      </c>
      <c r="R18" s="29">
        <f t="shared" si="3"/>
        <v>15.343492777777778</v>
      </c>
      <c r="S18" s="15" t="e">
        <f t="shared" si="0"/>
        <v>#DIV/0!</v>
      </c>
      <c r="T18" s="16" t="e">
        <f t="shared" si="1"/>
        <v>#DIV/0!</v>
      </c>
      <c r="U18" s="36"/>
      <c r="V18" s="40"/>
      <c r="W18" s="41"/>
      <c r="X18" s="42"/>
      <c r="Y18" s="40"/>
      <c r="Z18" s="41"/>
      <c r="AA18" s="42"/>
    </row>
    <row r="19" spans="1:27" ht="12" x14ac:dyDescent="0.25">
      <c r="A19" s="9" t="s">
        <v>8</v>
      </c>
      <c r="B19" s="14" t="s">
        <v>45</v>
      </c>
      <c r="C19" s="10">
        <v>27</v>
      </c>
      <c r="D19" s="11"/>
      <c r="E19" s="12"/>
      <c r="F19" s="12"/>
      <c r="G19" s="12"/>
      <c r="H19" s="12"/>
      <c r="I19" s="12"/>
      <c r="J19" s="27"/>
      <c r="L19" s="11">
        <f>Test!B89</f>
        <v>10040.92</v>
      </c>
      <c r="M19" s="12">
        <f>Test!C89</f>
        <v>37.978499999999997</v>
      </c>
      <c r="N19" s="12">
        <f>Test!D89</f>
        <v>39.721800000000002</v>
      </c>
      <c r="O19" s="12">
        <f>Test!E89</f>
        <v>43.080500000000001</v>
      </c>
      <c r="P19" s="12">
        <f>Test!F89</f>
        <v>74877.75</v>
      </c>
      <c r="Q19" s="12">
        <f>Test!G89</f>
        <v>12.618</v>
      </c>
      <c r="R19" s="27">
        <f t="shared" si="3"/>
        <v>20.799375000000001</v>
      </c>
      <c r="S19" s="11" t="e">
        <f t="shared" si="0"/>
        <v>#DIV/0!</v>
      </c>
      <c r="T19" s="12" t="e">
        <f t="shared" si="1"/>
        <v>#DIV/0!</v>
      </c>
      <c r="U19" s="32"/>
      <c r="V19" s="33" t="e">
        <f>bdrate($D19:$D22,E19:E22,$L19:$L22,M19:M22)</f>
        <v>#VALUE!</v>
      </c>
      <c r="W19" s="34" t="e">
        <f>bdrate($D19:$D22,F19:F22,$L19:$L22,N19:N22)</f>
        <v>#VALUE!</v>
      </c>
      <c r="X19" s="34" t="e">
        <f>bdrate($D19:$D22,G19:G22,$L19:$L22,O19:O22)</f>
        <v>#VALUE!</v>
      </c>
      <c r="Y19" s="44" t="e">
        <f>bdrateOld($D19:$D22,E19:E22,$L19:$L22,M19:M22)</f>
        <v>#VALUE!</v>
      </c>
      <c r="Z19" s="45" t="e">
        <f>bdrateOld($D19:$D22,F19:F22,$L19:$L22,N19:N22)</f>
        <v>#VALUE!</v>
      </c>
      <c r="AA19" s="46" t="e">
        <f>bdrateOld($D19:$D22,G19:G22,$L19:$L22,O19:O22)</f>
        <v>#VALUE!</v>
      </c>
    </row>
    <row r="20" spans="1:27" x14ac:dyDescent="0.25">
      <c r="A20" s="13" t="s">
        <v>73</v>
      </c>
      <c r="B20" s="14"/>
      <c r="C20" s="13">
        <v>32</v>
      </c>
      <c r="D20" s="15"/>
      <c r="E20" s="16"/>
      <c r="F20" s="16"/>
      <c r="G20" s="16"/>
      <c r="H20" s="16"/>
      <c r="I20" s="16"/>
      <c r="J20" s="28"/>
      <c r="L20" s="15">
        <f>Test!B90</f>
        <v>4724.2839999999997</v>
      </c>
      <c r="M20" s="16">
        <f>Test!C90</f>
        <v>36.880499999999998</v>
      </c>
      <c r="N20" s="16">
        <f>Test!D90</f>
        <v>39.185899999999997</v>
      </c>
      <c r="O20" s="16">
        <f>Test!E90</f>
        <v>41.955500000000001</v>
      </c>
      <c r="P20" s="16">
        <f>Test!F90</f>
        <v>49333.726999999999</v>
      </c>
      <c r="Q20" s="16">
        <f>Test!G90</f>
        <v>11.507999999999999</v>
      </c>
      <c r="R20" s="28">
        <f t="shared" si="3"/>
        <v>13.703813055555555</v>
      </c>
      <c r="S20" s="15" t="e">
        <f t="shared" si="0"/>
        <v>#DIV/0!</v>
      </c>
      <c r="T20" s="16" t="e">
        <f t="shared" si="1"/>
        <v>#DIV/0!</v>
      </c>
      <c r="U20" s="36"/>
      <c r="V20" s="37"/>
      <c r="W20" s="38"/>
      <c r="X20" s="38"/>
      <c r="Y20" s="37"/>
      <c r="Z20" s="38"/>
      <c r="AA20" s="39"/>
    </row>
    <row r="21" spans="1:27" x14ac:dyDescent="0.25">
      <c r="A21" s="13"/>
      <c r="B21" s="14"/>
      <c r="C21" s="13">
        <v>38</v>
      </c>
      <c r="D21" s="15"/>
      <c r="E21" s="16"/>
      <c r="F21" s="16"/>
      <c r="G21" s="16"/>
      <c r="H21" s="16"/>
      <c r="I21" s="16"/>
      <c r="J21" s="28"/>
      <c r="L21" s="15">
        <f>Test!B91</f>
        <v>2400.136</v>
      </c>
      <c r="M21" s="16">
        <f>Test!C91</f>
        <v>35.293399999999998</v>
      </c>
      <c r="N21" s="16">
        <f>Test!D91</f>
        <v>38.468800000000002</v>
      </c>
      <c r="O21" s="16">
        <f>Test!E91</f>
        <v>40.590800000000002</v>
      </c>
      <c r="P21" s="16">
        <f>Test!F91</f>
        <v>30857.715</v>
      </c>
      <c r="Q21" s="16">
        <f>Test!G91</f>
        <v>10.956</v>
      </c>
      <c r="R21" s="28">
        <f t="shared" si="3"/>
        <v>8.5715874999999997</v>
      </c>
      <c r="S21" s="15" t="e">
        <f t="shared" si="0"/>
        <v>#DIV/0!</v>
      </c>
      <c r="T21" s="16" t="e">
        <f t="shared" si="1"/>
        <v>#DIV/0!</v>
      </c>
      <c r="U21" s="36"/>
      <c r="V21" s="37"/>
      <c r="W21" s="38"/>
      <c r="X21" s="38"/>
      <c r="Y21" s="37"/>
      <c r="Z21" s="38"/>
      <c r="AA21" s="39"/>
    </row>
    <row r="22" spans="1:27" ht="12" thickBot="1" x14ac:dyDescent="0.3">
      <c r="A22" s="13"/>
      <c r="B22" s="17"/>
      <c r="C22" s="18">
        <v>45</v>
      </c>
      <c r="D22" s="19"/>
      <c r="E22" s="20"/>
      <c r="F22" s="20"/>
      <c r="G22" s="20"/>
      <c r="H22" s="20"/>
      <c r="I22" s="20"/>
      <c r="J22" s="29"/>
      <c r="L22" s="19">
        <f>Test!B92</f>
        <v>1120.556</v>
      </c>
      <c r="M22" s="20">
        <f>Test!C92</f>
        <v>33.0471</v>
      </c>
      <c r="N22" s="20">
        <f>Test!D92</f>
        <v>37.390300000000003</v>
      </c>
      <c r="O22" s="20">
        <f>Test!E92</f>
        <v>38.886600000000001</v>
      </c>
      <c r="P22" s="20">
        <f>Test!F92</f>
        <v>17696.98</v>
      </c>
      <c r="Q22" s="20">
        <f>Test!G92</f>
        <v>10.403</v>
      </c>
      <c r="R22" s="29">
        <f t="shared" si="3"/>
        <v>4.9158277777777775</v>
      </c>
      <c r="S22" s="15" t="e">
        <f t="shared" si="0"/>
        <v>#DIV/0!</v>
      </c>
      <c r="T22" s="16" t="e">
        <f t="shared" si="1"/>
        <v>#DIV/0!</v>
      </c>
      <c r="U22" s="36"/>
      <c r="V22" s="40"/>
      <c r="W22" s="41"/>
      <c r="X22" s="41"/>
      <c r="Y22" s="40"/>
      <c r="Z22" s="41"/>
      <c r="AA22" s="42"/>
    </row>
    <row r="23" spans="1:27" x14ac:dyDescent="0.25">
      <c r="A23" s="21"/>
      <c r="B23" s="14" t="s">
        <v>46</v>
      </c>
      <c r="C23" s="10">
        <v>27</v>
      </c>
      <c r="D23" s="11"/>
      <c r="E23" s="12"/>
      <c r="F23" s="12"/>
      <c r="G23" s="12"/>
      <c r="H23" s="12"/>
      <c r="I23" s="12"/>
      <c r="J23" s="27"/>
      <c r="L23" s="11">
        <f>Test!B93</f>
        <v>8835.2559999999994</v>
      </c>
      <c r="M23" s="12">
        <f>Test!C93</f>
        <v>38.898499999999999</v>
      </c>
      <c r="N23" s="12">
        <f>Test!D93</f>
        <v>43.930700000000002</v>
      </c>
      <c r="O23" s="12">
        <f>Test!E93</f>
        <v>45.033299999999997</v>
      </c>
      <c r="P23" s="12">
        <f>Test!F93</f>
        <v>71430.960999999996</v>
      </c>
      <c r="Q23" s="12">
        <f>Test!G93</f>
        <v>14.455</v>
      </c>
      <c r="R23" s="27">
        <f t="shared" si="3"/>
        <v>19.841933611111109</v>
      </c>
      <c r="S23" s="15" t="e">
        <f t="shared" si="0"/>
        <v>#DIV/0!</v>
      </c>
      <c r="T23" s="16" t="e">
        <f t="shared" si="1"/>
        <v>#DIV/0!</v>
      </c>
      <c r="U23" s="36"/>
      <c r="V23" s="33" t="e">
        <f>bdrate($D23:$D26,E23:E26,$L23:$L26,M23:M26)</f>
        <v>#VALUE!</v>
      </c>
      <c r="W23" s="34" t="e">
        <f>bdrate($D23:$D26,F23:F26,$L23:$L26,N23:N26)</f>
        <v>#VALUE!</v>
      </c>
      <c r="X23" s="34" t="e">
        <f>bdrate($D23:$D26,G23:G26,$L23:$L26,O23:O26)</f>
        <v>#VALUE!</v>
      </c>
      <c r="Y23" s="44" t="e">
        <f>bdrateOld($D23:$D26,E23:E26,$L23:$L26,M23:M26)</f>
        <v>#VALUE!</v>
      </c>
      <c r="Z23" s="45" t="e">
        <f>bdrateOld($D23:$D26,F23:F26,$L23:$L26,N23:N26)</f>
        <v>#VALUE!</v>
      </c>
      <c r="AA23" s="46" t="e">
        <f>bdrateOld($D23:$D26,G23:G26,$L23:$L26,O23:O26)</f>
        <v>#VALUE!</v>
      </c>
    </row>
    <row r="24" spans="1:27" x14ac:dyDescent="0.25">
      <c r="A24" s="21"/>
      <c r="B24" s="14"/>
      <c r="C24" s="13">
        <v>32</v>
      </c>
      <c r="D24" s="15"/>
      <c r="E24" s="16"/>
      <c r="F24" s="16"/>
      <c r="G24" s="16"/>
      <c r="H24" s="16"/>
      <c r="I24" s="16"/>
      <c r="J24" s="28"/>
      <c r="L24" s="15">
        <f>Test!B94</f>
        <v>4396.0159999999996</v>
      </c>
      <c r="M24" s="16">
        <f>Test!C94</f>
        <v>37.851399999999998</v>
      </c>
      <c r="N24" s="16">
        <f>Test!D94</f>
        <v>43.092300000000002</v>
      </c>
      <c r="O24" s="16">
        <f>Test!E94</f>
        <v>43.619</v>
      </c>
      <c r="P24" s="16">
        <f>Test!F94</f>
        <v>47558.362999999998</v>
      </c>
      <c r="Q24" s="16">
        <f>Test!G94</f>
        <v>13.608000000000001</v>
      </c>
      <c r="R24" s="28">
        <f t="shared" si="3"/>
        <v>13.210656388888887</v>
      </c>
      <c r="S24" s="15" t="e">
        <f t="shared" si="0"/>
        <v>#DIV/0!</v>
      </c>
      <c r="T24" s="16" t="e">
        <f t="shared" si="1"/>
        <v>#DIV/0!</v>
      </c>
      <c r="U24" s="36"/>
      <c r="V24" s="37"/>
      <c r="W24" s="38"/>
      <c r="X24" s="38"/>
      <c r="Y24" s="37"/>
      <c r="Z24" s="38"/>
      <c r="AA24" s="39"/>
    </row>
    <row r="25" spans="1:27" x14ac:dyDescent="0.25">
      <c r="A25" s="21"/>
      <c r="B25" s="23"/>
      <c r="C25" s="13">
        <v>38</v>
      </c>
      <c r="D25" s="15"/>
      <c r="E25" s="16"/>
      <c r="F25" s="16"/>
      <c r="G25" s="16"/>
      <c r="H25" s="16"/>
      <c r="I25" s="16"/>
      <c r="J25" s="28"/>
      <c r="L25" s="15">
        <f>Test!B95</f>
        <v>2239.7240000000002</v>
      </c>
      <c r="M25" s="16">
        <f>Test!C95</f>
        <v>36.356099999999998</v>
      </c>
      <c r="N25" s="16">
        <f>Test!D95</f>
        <v>41.984900000000003</v>
      </c>
      <c r="O25" s="16">
        <f>Test!E95</f>
        <v>41.976199999999999</v>
      </c>
      <c r="P25" s="16">
        <f>Test!F95</f>
        <v>29017.155999999999</v>
      </c>
      <c r="Q25" s="16">
        <f>Test!G95</f>
        <v>12.827999999999999</v>
      </c>
      <c r="R25" s="28">
        <f t="shared" si="3"/>
        <v>8.0603211111111115</v>
      </c>
      <c r="S25" s="15" t="e">
        <f t="shared" si="0"/>
        <v>#DIV/0!</v>
      </c>
      <c r="T25" s="16" t="e">
        <f t="shared" si="1"/>
        <v>#DIV/0!</v>
      </c>
      <c r="U25" s="36"/>
      <c r="V25" s="37"/>
      <c r="W25" s="38"/>
      <c r="X25" s="38"/>
      <c r="Y25" s="37"/>
      <c r="Z25" s="38"/>
      <c r="AA25" s="39"/>
    </row>
    <row r="26" spans="1:27" ht="12" thickBot="1" x14ac:dyDescent="0.3">
      <c r="A26" s="21"/>
      <c r="B26" s="24"/>
      <c r="C26" s="18">
        <v>45</v>
      </c>
      <c r="D26" s="19"/>
      <c r="E26" s="20"/>
      <c r="F26" s="20"/>
      <c r="G26" s="20"/>
      <c r="H26" s="20"/>
      <c r="I26" s="20"/>
      <c r="J26" s="29"/>
      <c r="L26" s="19">
        <f>Test!B96</f>
        <v>1102.8240000000001</v>
      </c>
      <c r="M26" s="20">
        <f>Test!C96</f>
        <v>34.287700000000001</v>
      </c>
      <c r="N26" s="20">
        <f>Test!D96</f>
        <v>40.645699999999998</v>
      </c>
      <c r="O26" s="20">
        <f>Test!E96</f>
        <v>40.1036</v>
      </c>
      <c r="P26" s="20">
        <f>Test!F96</f>
        <v>17482.923999999999</v>
      </c>
      <c r="Q26" s="20">
        <f>Test!G96</f>
        <v>11.531000000000001</v>
      </c>
      <c r="R26" s="29">
        <f t="shared" si="3"/>
        <v>4.8563677777777778</v>
      </c>
      <c r="S26" s="15" t="e">
        <f t="shared" si="0"/>
        <v>#DIV/0!</v>
      </c>
      <c r="T26" s="16" t="e">
        <f t="shared" si="1"/>
        <v>#DIV/0!</v>
      </c>
      <c r="U26" s="36"/>
      <c r="V26" s="40"/>
      <c r="W26" s="41"/>
      <c r="X26" s="41"/>
      <c r="Y26" s="40"/>
      <c r="Z26" s="41"/>
      <c r="AA26" s="42"/>
    </row>
    <row r="27" spans="1:27" x14ac:dyDescent="0.25">
      <c r="A27" s="13"/>
      <c r="B27" s="6" t="s">
        <v>47</v>
      </c>
      <c r="C27" s="10">
        <v>43</v>
      </c>
      <c r="D27" s="11"/>
      <c r="E27" s="12"/>
      <c r="F27" s="12"/>
      <c r="G27" s="12"/>
      <c r="H27" s="12"/>
      <c r="I27" s="12"/>
      <c r="J27" s="27"/>
      <c r="L27" s="11">
        <f>Test!B97</f>
        <v>6898.1639999999998</v>
      </c>
      <c r="M27" s="12">
        <f>Test!C97</f>
        <v>39.654400000000003</v>
      </c>
      <c r="N27" s="12">
        <f>Test!D97</f>
        <v>43.6706</v>
      </c>
      <c r="O27" s="12">
        <f>Test!E97</f>
        <v>44.8583</v>
      </c>
      <c r="P27" s="12">
        <f>Test!F97</f>
        <v>73764.570000000007</v>
      </c>
      <c r="Q27" s="12">
        <f>Test!G97</f>
        <v>15.736000000000001</v>
      </c>
      <c r="R27" s="27">
        <f t="shared" si="3"/>
        <v>20.490158333333337</v>
      </c>
      <c r="S27" s="15" t="e">
        <f t="shared" si="0"/>
        <v>#DIV/0!</v>
      </c>
      <c r="T27" s="16" t="e">
        <f t="shared" si="1"/>
        <v>#DIV/0!</v>
      </c>
      <c r="U27" s="36"/>
      <c r="V27" s="33" t="e">
        <f>bdrate($D27:$D30,E27:E30,$L27:$L30,M27:M30)</f>
        <v>#VALUE!</v>
      </c>
      <c r="W27" s="34" t="e">
        <f>bdrate($D27:$D30,F27:F30,$L27:$L30,N27:N30)</f>
        <v>#VALUE!</v>
      </c>
      <c r="X27" s="35" t="e">
        <f>bdrate($D27:$D30,G27:G30,$L27:$L30,O27:O30)</f>
        <v>#VALUE!</v>
      </c>
      <c r="Y27" s="33" t="e">
        <f>bdrateOld($D27:$D30,E27:E30,$L27:$L30,M27:M30)</f>
        <v>#VALUE!</v>
      </c>
      <c r="Z27" s="34" t="e">
        <f>bdrateOld($D27:$D30,F27:F30,$L27:$L30,N27:N30)</f>
        <v>#VALUE!</v>
      </c>
      <c r="AA27" s="35" t="e">
        <f>bdrateOld($D27:$D30,G27:G30,$L27:$L30,O27:O30)</f>
        <v>#VALUE!</v>
      </c>
    </row>
    <row r="28" spans="1:27" x14ac:dyDescent="0.25">
      <c r="A28" s="13"/>
      <c r="B28" s="14"/>
      <c r="C28" s="13">
        <v>48</v>
      </c>
      <c r="D28" s="15"/>
      <c r="E28" s="16"/>
      <c r="F28" s="16"/>
      <c r="G28" s="16"/>
      <c r="H28" s="16"/>
      <c r="I28" s="16"/>
      <c r="J28" s="28"/>
      <c r="L28" s="15">
        <f>Test!B98</f>
        <v>3244.1880000000001</v>
      </c>
      <c r="M28" s="16">
        <f>Test!C98</f>
        <v>38.456800000000001</v>
      </c>
      <c r="N28" s="16">
        <f>Test!D98</f>
        <v>42.905900000000003</v>
      </c>
      <c r="O28" s="16">
        <f>Test!E98</f>
        <v>44.192399999999999</v>
      </c>
      <c r="P28" s="16">
        <f>Test!F98</f>
        <v>49215.690999999999</v>
      </c>
      <c r="Q28" s="16">
        <f>Test!G98</f>
        <v>14.843999999999999</v>
      </c>
      <c r="R28" s="28">
        <f t="shared" ref="R28:R47" si="4">P28/3600</f>
        <v>13.671025277777778</v>
      </c>
      <c r="S28" s="15" t="e">
        <f t="shared" si="0"/>
        <v>#DIV/0!</v>
      </c>
      <c r="T28" s="16" t="e">
        <f t="shared" si="1"/>
        <v>#DIV/0!</v>
      </c>
      <c r="U28" s="36"/>
      <c r="V28" s="37"/>
      <c r="W28" s="38"/>
      <c r="X28" s="39"/>
      <c r="Y28" s="37"/>
      <c r="Z28" s="38"/>
      <c r="AA28" s="39"/>
    </row>
    <row r="29" spans="1:27" x14ac:dyDescent="0.25">
      <c r="A29" s="13"/>
      <c r="B29" s="14"/>
      <c r="C29" s="13">
        <v>54</v>
      </c>
      <c r="D29" s="15"/>
      <c r="E29" s="16"/>
      <c r="F29" s="16"/>
      <c r="G29" s="16"/>
      <c r="H29" s="16"/>
      <c r="I29" s="16"/>
      <c r="J29" s="28"/>
      <c r="L29" s="15">
        <f>Test!B99</f>
        <v>1544.796</v>
      </c>
      <c r="M29" s="16">
        <f>Test!C99</f>
        <v>36.757100000000001</v>
      </c>
      <c r="N29" s="16">
        <f>Test!D99</f>
        <v>41.886800000000001</v>
      </c>
      <c r="O29" s="16">
        <f>Test!E99</f>
        <v>43.193800000000003</v>
      </c>
      <c r="P29" s="16">
        <f>Test!F99</f>
        <v>29132.004000000001</v>
      </c>
      <c r="Q29" s="16">
        <f>Test!G99</f>
        <v>15.119</v>
      </c>
      <c r="R29" s="28">
        <f t="shared" si="4"/>
        <v>8.0922233333333331</v>
      </c>
      <c r="S29" s="15" t="e">
        <f t="shared" si="0"/>
        <v>#DIV/0!</v>
      </c>
      <c r="T29" s="16" t="e">
        <f t="shared" si="1"/>
        <v>#DIV/0!</v>
      </c>
      <c r="U29" s="36"/>
      <c r="V29" s="37"/>
      <c r="W29" s="38"/>
      <c r="X29" s="39"/>
      <c r="Y29" s="37"/>
      <c r="Z29" s="38"/>
      <c r="AA29" s="39"/>
    </row>
    <row r="30" spans="1:27" ht="12" thickBot="1" x14ac:dyDescent="0.3">
      <c r="A30" s="13"/>
      <c r="B30" s="17"/>
      <c r="C30" s="18">
        <v>61</v>
      </c>
      <c r="D30" s="19"/>
      <c r="E30" s="20"/>
      <c r="F30" s="20"/>
      <c r="G30" s="20"/>
      <c r="H30" s="20"/>
      <c r="I30" s="20"/>
      <c r="J30" s="29"/>
      <c r="L30" s="19">
        <f>Test!B100</f>
        <v>694.68799999999999</v>
      </c>
      <c r="M30" s="20">
        <f>Test!C100</f>
        <v>34.526600000000002</v>
      </c>
      <c r="N30" s="20">
        <f>Test!D100</f>
        <v>40.635199999999998</v>
      </c>
      <c r="O30" s="20">
        <f>Test!E100</f>
        <v>41.886099999999999</v>
      </c>
      <c r="P30" s="20">
        <f>Test!F100</f>
        <v>15290.57</v>
      </c>
      <c r="Q30" s="20">
        <f>Test!G100</f>
        <v>12.659000000000001</v>
      </c>
      <c r="R30" s="29">
        <f t="shared" si="4"/>
        <v>4.247380555555555</v>
      </c>
      <c r="S30" s="15" t="e">
        <f t="shared" si="0"/>
        <v>#DIV/0!</v>
      </c>
      <c r="T30" s="16" t="e">
        <f t="shared" si="1"/>
        <v>#DIV/0!</v>
      </c>
      <c r="U30" s="36"/>
      <c r="V30" s="40"/>
      <c r="W30" s="41"/>
      <c r="X30" s="42"/>
      <c r="Y30" s="40"/>
      <c r="Z30" s="41"/>
      <c r="AA30" s="42"/>
    </row>
    <row r="31" spans="1:27" x14ac:dyDescent="0.25">
      <c r="A31" s="13"/>
      <c r="B31" s="6" t="s">
        <v>48</v>
      </c>
      <c r="C31" s="10">
        <v>43</v>
      </c>
      <c r="D31" s="11"/>
      <c r="E31" s="12"/>
      <c r="F31" s="12"/>
      <c r="G31" s="12"/>
      <c r="H31" s="12"/>
      <c r="I31" s="12"/>
      <c r="J31" s="27"/>
      <c r="L31" s="11">
        <f>Test!B101</f>
        <v>5764.076</v>
      </c>
      <c r="M31" s="12">
        <f>Test!C101</f>
        <v>44.824800000000003</v>
      </c>
      <c r="N31" s="12">
        <f>Test!D101</f>
        <v>47.208199999999998</v>
      </c>
      <c r="O31" s="12">
        <f>Test!E101</f>
        <v>48.170999999999999</v>
      </c>
      <c r="P31" s="12">
        <f>Test!F101</f>
        <v>53106.987999999998</v>
      </c>
      <c r="Q31" s="12">
        <f>Test!G101</f>
        <v>16.414999999999999</v>
      </c>
      <c r="R31" s="27">
        <f t="shared" si="4"/>
        <v>14.75194111111111</v>
      </c>
      <c r="S31" s="15" t="e">
        <f t="shared" si="0"/>
        <v>#DIV/0!</v>
      </c>
      <c r="T31" s="16" t="e">
        <f t="shared" si="1"/>
        <v>#DIV/0!</v>
      </c>
      <c r="U31" s="36"/>
      <c r="V31" s="33" t="e">
        <f>bdrate($D31:$D34,E31:E34,$L31:$L34,M31:M34)</f>
        <v>#VALUE!</v>
      </c>
      <c r="W31" s="34" t="e">
        <f>bdrate($D31:$D34,F31:F34,$L31:$L34,N31:N34)</f>
        <v>#VALUE!</v>
      </c>
      <c r="X31" s="34" t="e">
        <f>bdrate($D31:$D34,G31:G34,$L31:$L34,O31:O34)</f>
        <v>#VALUE!</v>
      </c>
      <c r="Y31" s="44" t="e">
        <f>bdrateOld($D31:$D34,E31:E34,$L31:$L34,M31:M34)</f>
        <v>#VALUE!</v>
      </c>
      <c r="Z31" s="45" t="e">
        <f>bdrateOld($D31:$D34,F31:F34,$L31:$L34,N31:N34)</f>
        <v>#VALUE!</v>
      </c>
      <c r="AA31" s="46" t="e">
        <f>bdrateOld($D31:$D34,G31:G34,$L31:$L34,O31:O34)</f>
        <v>#VALUE!</v>
      </c>
    </row>
    <row r="32" spans="1:27" x14ac:dyDescent="0.25">
      <c r="A32" s="13"/>
      <c r="B32" s="14"/>
      <c r="C32" s="13">
        <v>48</v>
      </c>
      <c r="D32" s="15"/>
      <c r="E32" s="16"/>
      <c r="F32" s="16"/>
      <c r="G32" s="16"/>
      <c r="H32" s="16"/>
      <c r="I32" s="16"/>
      <c r="J32" s="28"/>
      <c r="L32" s="15">
        <f>Test!B102</f>
        <v>3535.0920000000001</v>
      </c>
      <c r="M32" s="16">
        <f>Test!C102</f>
        <v>42.591799999999999</v>
      </c>
      <c r="N32" s="16">
        <f>Test!D102</f>
        <v>45.660699999999999</v>
      </c>
      <c r="O32" s="16">
        <f>Test!E102</f>
        <v>46.448700000000002</v>
      </c>
      <c r="P32" s="16">
        <f>Test!F102</f>
        <v>38127.555</v>
      </c>
      <c r="Q32" s="16">
        <f>Test!G102</f>
        <v>15.819000000000001</v>
      </c>
      <c r="R32" s="28">
        <f t="shared" si="4"/>
        <v>10.590987500000001</v>
      </c>
      <c r="S32" s="15" t="e">
        <f t="shared" si="0"/>
        <v>#DIV/0!</v>
      </c>
      <c r="T32" s="16" t="e">
        <f t="shared" si="1"/>
        <v>#DIV/0!</v>
      </c>
      <c r="U32" s="36"/>
      <c r="V32" s="37"/>
      <c r="W32" s="38"/>
      <c r="X32" s="38"/>
      <c r="Y32" s="37"/>
      <c r="Z32" s="38"/>
      <c r="AA32" s="39"/>
    </row>
    <row r="33" spans="1:27" x14ac:dyDescent="0.25">
      <c r="A33" s="13"/>
      <c r="B33" s="14"/>
      <c r="C33" s="13">
        <v>54</v>
      </c>
      <c r="D33" s="15"/>
      <c r="E33" s="16"/>
      <c r="F33" s="16"/>
      <c r="G33" s="16"/>
      <c r="H33" s="16"/>
      <c r="I33" s="16"/>
      <c r="J33" s="28"/>
      <c r="L33" s="15">
        <f>Test!B103</f>
        <v>1963.856</v>
      </c>
      <c r="M33" s="16">
        <f>Test!C103</f>
        <v>39.781700000000001</v>
      </c>
      <c r="N33" s="16">
        <f>Test!D103</f>
        <v>43.994999999999997</v>
      </c>
      <c r="O33" s="16">
        <f>Test!E103</f>
        <v>44.548000000000002</v>
      </c>
      <c r="P33" s="16">
        <f>Test!F103</f>
        <v>25245.993999999999</v>
      </c>
      <c r="Q33" s="16">
        <f>Test!G103</f>
        <v>13.978</v>
      </c>
      <c r="R33" s="28">
        <f t="shared" si="4"/>
        <v>7.0127761111111111</v>
      </c>
      <c r="S33" s="15" t="e">
        <f t="shared" si="0"/>
        <v>#DIV/0!</v>
      </c>
      <c r="T33" s="16" t="e">
        <f t="shared" si="1"/>
        <v>#DIV/0!</v>
      </c>
      <c r="U33" s="36"/>
      <c r="V33" s="37"/>
      <c r="W33" s="38"/>
      <c r="X33" s="38"/>
      <c r="Y33" s="37"/>
      <c r="Z33" s="38"/>
      <c r="AA33" s="39"/>
    </row>
    <row r="34" spans="1:27" ht="12" thickBot="1" x14ac:dyDescent="0.3">
      <c r="A34" s="13"/>
      <c r="B34" s="17"/>
      <c r="C34" s="18">
        <v>61</v>
      </c>
      <c r="D34" s="19"/>
      <c r="E34" s="20"/>
      <c r="F34" s="20"/>
      <c r="G34" s="20"/>
      <c r="H34" s="20"/>
      <c r="I34" s="20"/>
      <c r="J34" s="29"/>
      <c r="L34" s="19">
        <f>Test!B104</f>
        <v>996.67600000000004</v>
      </c>
      <c r="M34" s="20">
        <f>Test!C104</f>
        <v>36.597999999999999</v>
      </c>
      <c r="N34" s="20">
        <f>Test!D104</f>
        <v>42.385199999999998</v>
      </c>
      <c r="O34" s="20">
        <f>Test!E104</f>
        <v>42.6875</v>
      </c>
      <c r="P34" s="20">
        <f>Test!F104</f>
        <v>15248.946</v>
      </c>
      <c r="Q34" s="20">
        <f>Test!G104</f>
        <v>12.127000000000001</v>
      </c>
      <c r="R34" s="29">
        <f t="shared" si="4"/>
        <v>4.2358183333333335</v>
      </c>
      <c r="S34" s="15" t="e">
        <f t="shared" si="0"/>
        <v>#DIV/0!</v>
      </c>
      <c r="T34" s="16" t="e">
        <f t="shared" si="1"/>
        <v>#DIV/0!</v>
      </c>
      <c r="U34" s="36"/>
      <c r="V34" s="40"/>
      <c r="W34" s="41"/>
      <c r="X34" s="41"/>
      <c r="Y34" s="40"/>
      <c r="Z34" s="41"/>
      <c r="AA34" s="42"/>
    </row>
    <row r="35" spans="1:27" ht="12" x14ac:dyDescent="0.25">
      <c r="A35" s="9" t="s">
        <v>9</v>
      </c>
      <c r="B35" s="6" t="s">
        <v>49</v>
      </c>
      <c r="C35" s="10">
        <v>27</v>
      </c>
      <c r="D35" s="11"/>
      <c r="E35" s="12"/>
      <c r="F35" s="12"/>
      <c r="G35" s="12"/>
      <c r="H35" s="12"/>
      <c r="I35" s="12"/>
      <c r="J35" s="27"/>
      <c r="L35" s="11">
        <f>Test!B105</f>
        <v>4214.1840000000002</v>
      </c>
      <c r="M35" s="12">
        <f>Test!C105</f>
        <v>38.523499999999999</v>
      </c>
      <c r="N35" s="12">
        <f>Test!D105</f>
        <v>45.800899999999999</v>
      </c>
      <c r="O35" s="12">
        <f>Test!E105</f>
        <v>46.008400000000002</v>
      </c>
      <c r="P35" s="12">
        <f>Test!F105</f>
        <v>37470.495999999999</v>
      </c>
      <c r="Q35" s="12">
        <f>Test!G105</f>
        <v>6.7629999999999999</v>
      </c>
      <c r="R35" s="27">
        <f t="shared" si="4"/>
        <v>10.40847111111111</v>
      </c>
      <c r="S35" s="11" t="e">
        <f t="shared" ref="S35:S66" si="5">P35/H35</f>
        <v>#DIV/0!</v>
      </c>
      <c r="T35" s="12" t="e">
        <f t="shared" ref="T35:T66" si="6">Q35/I35</f>
        <v>#DIV/0!</v>
      </c>
      <c r="U35" s="32"/>
      <c r="V35" s="33" t="e">
        <f>bdrate($D35:$D38,E35:E38,$L35:$L38,M35:M38)</f>
        <v>#VALUE!</v>
      </c>
      <c r="W35" s="34" t="e">
        <f>bdrate($D35:$D38,F35:F38,$L35:$L38,N35:N38)</f>
        <v>#VALUE!</v>
      </c>
      <c r="X35" s="34" t="e">
        <f>bdrate($D35:$D38,G35:G38,$L35:$L38,O35:O38)</f>
        <v>#VALUE!</v>
      </c>
      <c r="Y35" s="44" t="e">
        <f>bdrateOld($D35:$D38,E35:E38,$L35:$L38,M35:M38)</f>
        <v>#VALUE!</v>
      </c>
      <c r="Z35" s="45" t="e">
        <f>bdrateOld($D35:$D38,F35:F38,$L35:$L38,N35:N38)</f>
        <v>#VALUE!</v>
      </c>
      <c r="AA35" s="46" t="e">
        <f>bdrateOld($D35:$D38,G35:G38,$L35:$L38,O35:O38)</f>
        <v>#VALUE!</v>
      </c>
    </row>
    <row r="36" spans="1:27" x14ac:dyDescent="0.25">
      <c r="A36" s="13" t="s">
        <v>74</v>
      </c>
      <c r="B36" s="14"/>
      <c r="C36" s="13">
        <v>32</v>
      </c>
      <c r="D36" s="15"/>
      <c r="E36" s="16"/>
      <c r="F36" s="16"/>
      <c r="G36" s="16"/>
      <c r="H36" s="16"/>
      <c r="I36" s="16"/>
      <c r="J36" s="28"/>
      <c r="L36" s="15">
        <f>Test!B106</f>
        <v>1786.096</v>
      </c>
      <c r="M36" s="16">
        <f>Test!C106</f>
        <v>36.929400000000001</v>
      </c>
      <c r="N36" s="16">
        <f>Test!D106</f>
        <v>44.636499999999998</v>
      </c>
      <c r="O36" s="16">
        <f>Test!E106</f>
        <v>44.814900000000002</v>
      </c>
      <c r="P36" s="16">
        <f>Test!F106</f>
        <v>24136.803</v>
      </c>
      <c r="Q36" s="16">
        <f>Test!G106</f>
        <v>6.093</v>
      </c>
      <c r="R36" s="28">
        <f t="shared" si="4"/>
        <v>6.7046675000000002</v>
      </c>
      <c r="S36" s="15" t="e">
        <f t="shared" si="5"/>
        <v>#DIV/0!</v>
      </c>
      <c r="T36" s="16" t="e">
        <f t="shared" si="6"/>
        <v>#DIV/0!</v>
      </c>
      <c r="U36" s="36"/>
      <c r="V36" s="37"/>
      <c r="W36" s="38"/>
      <c r="X36" s="38"/>
      <c r="Y36" s="37"/>
      <c r="Z36" s="38"/>
      <c r="AA36" s="39"/>
    </row>
    <row r="37" spans="1:27" x14ac:dyDescent="0.25">
      <c r="A37" s="13"/>
      <c r="B37" s="14"/>
      <c r="C37" s="13">
        <v>38</v>
      </c>
      <c r="D37" s="15"/>
      <c r="E37" s="16"/>
      <c r="F37" s="16"/>
      <c r="G37" s="16"/>
      <c r="H37" s="16"/>
      <c r="I37" s="16"/>
      <c r="J37" s="28"/>
      <c r="L37" s="15">
        <f>Test!B107</f>
        <v>819.33199999999999</v>
      </c>
      <c r="M37" s="16">
        <f>Test!C107</f>
        <v>34.942399999999999</v>
      </c>
      <c r="N37" s="16">
        <f>Test!D107</f>
        <v>43.115900000000003</v>
      </c>
      <c r="O37" s="16">
        <f>Test!E107</f>
        <v>43.402999999999999</v>
      </c>
      <c r="P37" s="16">
        <f>Test!F107</f>
        <v>14573.073</v>
      </c>
      <c r="Q37" s="16">
        <f>Test!G107</f>
        <v>5.3250000000000002</v>
      </c>
      <c r="R37" s="28">
        <f t="shared" si="4"/>
        <v>4.0480758333333338</v>
      </c>
      <c r="S37" s="15" t="e">
        <f t="shared" si="5"/>
        <v>#DIV/0!</v>
      </c>
      <c r="T37" s="16" t="e">
        <f t="shared" si="6"/>
        <v>#DIV/0!</v>
      </c>
      <c r="U37" s="36"/>
      <c r="V37" s="37"/>
      <c r="W37" s="38"/>
      <c r="X37" s="38"/>
      <c r="Y37" s="37"/>
      <c r="Z37" s="38"/>
      <c r="AA37" s="39"/>
    </row>
    <row r="38" spans="1:27" ht="12" thickBot="1" x14ac:dyDescent="0.3">
      <c r="A38" s="13"/>
      <c r="B38" s="17"/>
      <c r="C38" s="18">
        <v>45</v>
      </c>
      <c r="D38" s="19"/>
      <c r="E38" s="20"/>
      <c r="F38" s="20"/>
      <c r="G38" s="20"/>
      <c r="H38" s="20"/>
      <c r="I38" s="20"/>
      <c r="J38" s="29"/>
      <c r="L38" s="19">
        <f>Test!B108</f>
        <v>392.1</v>
      </c>
      <c r="M38" s="20">
        <f>Test!C108</f>
        <v>32.333199999999998</v>
      </c>
      <c r="N38" s="20">
        <f>Test!D108</f>
        <v>41.230800000000002</v>
      </c>
      <c r="O38" s="20">
        <f>Test!E108</f>
        <v>41.762700000000002</v>
      </c>
      <c r="P38" s="20">
        <f>Test!F108</f>
        <v>7917.7150000000001</v>
      </c>
      <c r="Q38" s="20">
        <f>Test!G108</f>
        <v>4.7240000000000002</v>
      </c>
      <c r="R38" s="29">
        <f t="shared" si="4"/>
        <v>2.1993652777777779</v>
      </c>
      <c r="S38" s="15" t="e">
        <f t="shared" si="5"/>
        <v>#DIV/0!</v>
      </c>
      <c r="T38" s="16" t="e">
        <f t="shared" si="6"/>
        <v>#DIV/0!</v>
      </c>
      <c r="U38" s="36"/>
      <c r="V38" s="40"/>
      <c r="W38" s="41"/>
      <c r="X38" s="41"/>
      <c r="Y38" s="40"/>
      <c r="Z38" s="41"/>
      <c r="AA38" s="42"/>
    </row>
    <row r="39" spans="1:27" x14ac:dyDescent="0.25">
      <c r="A39" s="13"/>
      <c r="B39" s="6" t="s">
        <v>54</v>
      </c>
      <c r="C39" s="10">
        <v>27</v>
      </c>
      <c r="D39" s="11"/>
      <c r="E39" s="12"/>
      <c r="F39" s="12"/>
      <c r="G39" s="12"/>
      <c r="H39" s="12"/>
      <c r="I39" s="12"/>
      <c r="J39" s="27"/>
      <c r="L39" s="11">
        <f>Test!B109</f>
        <v>2481.5320000000002</v>
      </c>
      <c r="M39" s="12">
        <f>Test!C109</f>
        <v>40.591500000000003</v>
      </c>
      <c r="N39" s="12">
        <f>Test!D109</f>
        <v>46.071300000000001</v>
      </c>
      <c r="O39" s="12">
        <f>Test!E109</f>
        <v>47.180999999999997</v>
      </c>
      <c r="P39" s="12">
        <f>Test!F109</f>
        <v>39425.288999999997</v>
      </c>
      <c r="Q39" s="12">
        <f>Test!G109</f>
        <v>10.221</v>
      </c>
      <c r="R39" s="27">
        <f t="shared" si="4"/>
        <v>10.951469166666666</v>
      </c>
      <c r="S39" s="15" t="e">
        <f t="shared" si="5"/>
        <v>#DIV/0!</v>
      </c>
      <c r="T39" s="16" t="e">
        <f t="shared" si="6"/>
        <v>#DIV/0!</v>
      </c>
      <c r="U39" s="36"/>
      <c r="V39" s="33" t="e">
        <f>bdrate($D39:$D42,E39:E42,$L39:$L42,M39:M42)</f>
        <v>#VALUE!</v>
      </c>
      <c r="W39" s="34" t="e">
        <f>bdrate($D39:$D42,F39:F42,$L39:$L42,N39:N42)</f>
        <v>#VALUE!</v>
      </c>
      <c r="X39" s="34" t="e">
        <f>bdrate($D39:$D42,G39:G42,$L39:$L42,O39:O42)</f>
        <v>#VALUE!</v>
      </c>
      <c r="Y39" s="44" t="e">
        <f>bdrateOld($D39:$D42,E39:E42,$L39:$L42,M39:M42)</f>
        <v>#VALUE!</v>
      </c>
      <c r="Z39" s="45" t="e">
        <f>bdrateOld($D39:$D42,F39:F42,$L39:$L42,N39:N42)</f>
        <v>#VALUE!</v>
      </c>
      <c r="AA39" s="46" t="e">
        <f>bdrateOld($D39:$D42,G39:G42,$L39:$L42,O39:O42)</f>
        <v>#VALUE!</v>
      </c>
    </row>
    <row r="40" spans="1:27" x14ac:dyDescent="0.25">
      <c r="A40" s="13"/>
      <c r="B40" s="14"/>
      <c r="C40" s="13">
        <v>32</v>
      </c>
      <c r="D40" s="15"/>
      <c r="E40" s="16"/>
      <c r="F40" s="16"/>
      <c r="G40" s="16"/>
      <c r="H40" s="16"/>
      <c r="I40" s="16"/>
      <c r="J40" s="28"/>
      <c r="L40" s="15">
        <f>Test!B110</f>
        <v>1140.624</v>
      </c>
      <c r="M40" s="16">
        <f>Test!C110</f>
        <v>39.485100000000003</v>
      </c>
      <c r="N40" s="16">
        <f>Test!D110</f>
        <v>45.519399999999997</v>
      </c>
      <c r="O40" s="16">
        <f>Test!E110</f>
        <v>45.934899999999999</v>
      </c>
      <c r="P40" s="16">
        <f>Test!F110</f>
        <v>22087.815999999999</v>
      </c>
      <c r="Q40" s="16">
        <f>Test!G110</f>
        <v>7.3890000000000002</v>
      </c>
      <c r="R40" s="28">
        <f t="shared" si="4"/>
        <v>6.135504444444444</v>
      </c>
      <c r="S40" s="15" t="e">
        <f t="shared" si="5"/>
        <v>#DIV/0!</v>
      </c>
      <c r="T40" s="16" t="e">
        <f t="shared" si="6"/>
        <v>#DIV/0!</v>
      </c>
      <c r="U40" s="36"/>
      <c r="V40" s="37"/>
      <c r="W40" s="38"/>
      <c r="X40" s="38"/>
      <c r="Y40" s="37"/>
      <c r="Z40" s="38"/>
      <c r="AA40" s="39"/>
    </row>
    <row r="41" spans="1:27" x14ac:dyDescent="0.25">
      <c r="A41" s="13"/>
      <c r="B41" s="14"/>
      <c r="C41" s="13">
        <v>38</v>
      </c>
      <c r="D41" s="15"/>
      <c r="E41" s="16"/>
      <c r="F41" s="16"/>
      <c r="G41" s="16"/>
      <c r="H41" s="16"/>
      <c r="I41" s="16"/>
      <c r="J41" s="28"/>
      <c r="L41" s="15">
        <f>Test!B111</f>
        <v>534.68399999999997</v>
      </c>
      <c r="M41" s="16">
        <f>Test!C111</f>
        <v>37.912100000000002</v>
      </c>
      <c r="N41" s="16">
        <f>Test!D111</f>
        <v>44.651699999999998</v>
      </c>
      <c r="O41" s="16">
        <f>Test!E111</f>
        <v>44.335799999999999</v>
      </c>
      <c r="P41" s="16">
        <f>Test!F111</f>
        <v>11432.974</v>
      </c>
      <c r="Q41" s="16">
        <f>Test!G111</f>
        <v>6.258</v>
      </c>
      <c r="R41" s="28">
        <f t="shared" si="4"/>
        <v>3.1758261111111112</v>
      </c>
      <c r="S41" s="15" t="e">
        <f t="shared" si="5"/>
        <v>#DIV/0!</v>
      </c>
      <c r="T41" s="16" t="e">
        <f t="shared" si="6"/>
        <v>#DIV/0!</v>
      </c>
      <c r="U41" s="36"/>
      <c r="V41" s="37"/>
      <c r="W41" s="38"/>
      <c r="X41" s="38"/>
      <c r="Y41" s="37"/>
      <c r="Z41" s="38"/>
      <c r="AA41" s="39"/>
    </row>
    <row r="42" spans="1:27" ht="12" thickBot="1" x14ac:dyDescent="0.3">
      <c r="A42" s="13"/>
      <c r="B42" s="17"/>
      <c r="C42" s="18">
        <v>45</v>
      </c>
      <c r="D42" s="19"/>
      <c r="E42" s="20"/>
      <c r="F42" s="20"/>
      <c r="G42" s="20"/>
      <c r="H42" s="20"/>
      <c r="I42" s="20"/>
      <c r="J42" s="29"/>
      <c r="L42" s="19">
        <f>Test!B112</f>
        <v>241.68</v>
      </c>
      <c r="M42" s="20">
        <f>Test!C112</f>
        <v>35.812199999999997</v>
      </c>
      <c r="N42" s="20">
        <f>Test!D112</f>
        <v>43.523200000000003</v>
      </c>
      <c r="O42" s="20">
        <f>Test!E112</f>
        <v>42.449300000000001</v>
      </c>
      <c r="P42" s="20">
        <f>Test!F112</f>
        <v>6068.7529999999997</v>
      </c>
      <c r="Q42" s="20">
        <f>Test!G112</f>
        <v>5.7709999999999999</v>
      </c>
      <c r="R42" s="29">
        <f t="shared" si="4"/>
        <v>1.6857647222222221</v>
      </c>
      <c r="S42" s="15" t="e">
        <f t="shared" si="5"/>
        <v>#DIV/0!</v>
      </c>
      <c r="T42" s="16" t="e">
        <f t="shared" si="6"/>
        <v>#DIV/0!</v>
      </c>
      <c r="U42" s="36"/>
      <c r="V42" s="40"/>
      <c r="W42" s="41"/>
      <c r="X42" s="41"/>
      <c r="Y42" s="40"/>
      <c r="Z42" s="41"/>
      <c r="AA42" s="42"/>
    </row>
    <row r="43" spans="1:27" x14ac:dyDescent="0.25">
      <c r="A43" s="13"/>
      <c r="B43" s="6" t="s">
        <v>75</v>
      </c>
      <c r="C43" s="10">
        <v>27</v>
      </c>
      <c r="D43" s="11"/>
      <c r="E43" s="12"/>
      <c r="F43" s="12"/>
      <c r="G43" s="12"/>
      <c r="H43" s="12"/>
      <c r="I43" s="12"/>
      <c r="J43" s="27"/>
      <c r="L43" s="11">
        <v>1083.4656</v>
      </c>
      <c r="M43" s="12">
        <v>42.661799999999999</v>
      </c>
      <c r="N43" s="12">
        <v>46.155000000000001</v>
      </c>
      <c r="O43" s="12">
        <v>47.015300000000003</v>
      </c>
      <c r="P43" s="12">
        <v>8277.3590000000004</v>
      </c>
      <c r="Q43" s="12">
        <f>Test!G257</f>
        <v>0</v>
      </c>
      <c r="R43" s="27">
        <f t="shared" si="4"/>
        <v>2.2992663888888889</v>
      </c>
      <c r="S43" s="15" t="e">
        <f t="shared" si="5"/>
        <v>#DIV/0!</v>
      </c>
      <c r="T43" s="16" t="e">
        <f t="shared" si="6"/>
        <v>#DIV/0!</v>
      </c>
      <c r="U43" s="36"/>
      <c r="V43" s="33" t="e">
        <f>bdrate($D43:$D46,E43:E46,$L43:$L46,M43:M46)</f>
        <v>#VALUE!</v>
      </c>
      <c r="W43" s="34" t="e">
        <f>bdrate($D43:$D46,F43:F46,$L43:$L46,N43:N46)</f>
        <v>#VALUE!</v>
      </c>
      <c r="X43" s="34" t="e">
        <f>bdrate($D43:$D46,G43:G46,$L43:$L46,O43:O46)</f>
        <v>#VALUE!</v>
      </c>
      <c r="Y43" s="44" t="e">
        <f>bdrateOld($D43:$D46,E43:E46,$L43:$L46,M43:M46)</f>
        <v>#VALUE!</v>
      </c>
      <c r="Z43" s="45" t="e">
        <f>bdrateOld($D43:$D46,F43:F46,$L43:$L46,N43:N46)</f>
        <v>#VALUE!</v>
      </c>
      <c r="AA43" s="46" t="e">
        <f>bdrateOld($D43:$D46,G43:G46,$L43:$L46,O43:O46)</f>
        <v>#VALUE!</v>
      </c>
    </row>
    <row r="44" spans="1:27" x14ac:dyDescent="0.25">
      <c r="A44" s="13"/>
      <c r="B44" s="14"/>
      <c r="C44" s="13">
        <v>32</v>
      </c>
      <c r="D44" s="15"/>
      <c r="E44" s="16"/>
      <c r="F44" s="16"/>
      <c r="G44" s="16"/>
      <c r="H44" s="16"/>
      <c r="I44" s="16"/>
      <c r="J44" s="28"/>
      <c r="L44" s="15">
        <v>550.98720000000003</v>
      </c>
      <c r="M44" s="16">
        <v>41.157299999999999</v>
      </c>
      <c r="N44" s="16">
        <v>45.348300000000002</v>
      </c>
      <c r="O44" s="16">
        <v>45.921900000000001</v>
      </c>
      <c r="P44" s="16">
        <v>5525.3230000000003</v>
      </c>
      <c r="Q44" s="16">
        <f>Test!G258</f>
        <v>0</v>
      </c>
      <c r="R44" s="28">
        <f t="shared" si="4"/>
        <v>1.5348119444444446</v>
      </c>
      <c r="S44" s="15" t="e">
        <f t="shared" si="5"/>
        <v>#DIV/0!</v>
      </c>
      <c r="T44" s="16" t="e">
        <f t="shared" si="6"/>
        <v>#DIV/0!</v>
      </c>
      <c r="U44" s="36"/>
      <c r="V44" s="37"/>
      <c r="W44" s="38"/>
      <c r="X44" s="38"/>
      <c r="Y44" s="37"/>
      <c r="Z44" s="38"/>
      <c r="AA44" s="39"/>
    </row>
    <row r="45" spans="1:27" x14ac:dyDescent="0.25">
      <c r="A45" s="13"/>
      <c r="B45" s="14"/>
      <c r="C45" s="13">
        <v>38</v>
      </c>
      <c r="D45" s="15"/>
      <c r="E45" s="16"/>
      <c r="F45" s="16"/>
      <c r="G45" s="16"/>
      <c r="H45" s="16"/>
      <c r="I45" s="16"/>
      <c r="J45" s="28"/>
      <c r="L45" s="15">
        <v>290.42880000000002</v>
      </c>
      <c r="M45" s="16">
        <v>39.157499999999999</v>
      </c>
      <c r="N45" s="16">
        <v>44.113100000000003</v>
      </c>
      <c r="O45" s="16">
        <v>44.499200000000002</v>
      </c>
      <c r="P45" s="16">
        <v>3026.098</v>
      </c>
      <c r="Q45" s="16">
        <f>Test!G259</f>
        <v>0</v>
      </c>
      <c r="R45" s="28">
        <f t="shared" si="4"/>
        <v>0.84058277777777779</v>
      </c>
      <c r="S45" s="15" t="e">
        <f t="shared" si="5"/>
        <v>#DIV/0!</v>
      </c>
      <c r="T45" s="16" t="e">
        <f t="shared" si="6"/>
        <v>#DIV/0!</v>
      </c>
      <c r="U45" s="36"/>
      <c r="V45" s="37"/>
      <c r="W45" s="38"/>
      <c r="X45" s="38"/>
      <c r="Y45" s="37"/>
      <c r="Z45" s="38"/>
      <c r="AA45" s="39"/>
    </row>
    <row r="46" spans="1:27" ht="12" thickBot="1" x14ac:dyDescent="0.3">
      <c r="A46" s="13"/>
      <c r="B46" s="17"/>
      <c r="C46" s="18">
        <v>45</v>
      </c>
      <c r="D46" s="19"/>
      <c r="E46" s="20"/>
      <c r="F46" s="20"/>
      <c r="G46" s="20"/>
      <c r="H46" s="20"/>
      <c r="I46" s="20"/>
      <c r="J46" s="29"/>
      <c r="L46" s="19">
        <v>157.04159999999999</v>
      </c>
      <c r="M46" s="20">
        <v>36.468899999999998</v>
      </c>
      <c r="N46" s="20">
        <v>42.244100000000003</v>
      </c>
      <c r="O46" s="20">
        <v>42.675400000000003</v>
      </c>
      <c r="P46" s="20">
        <v>1919.3019999999999</v>
      </c>
      <c r="Q46" s="20">
        <f>Test!G260</f>
        <v>0</v>
      </c>
      <c r="R46" s="29">
        <f t="shared" si="4"/>
        <v>0.53313944444444439</v>
      </c>
      <c r="S46" s="15" t="e">
        <f t="shared" si="5"/>
        <v>#DIV/0!</v>
      </c>
      <c r="T46" s="16" t="e">
        <f t="shared" si="6"/>
        <v>#DIV/0!</v>
      </c>
      <c r="U46" s="36"/>
      <c r="V46" s="40"/>
      <c r="W46" s="41"/>
      <c r="X46" s="41"/>
      <c r="Y46" s="40"/>
      <c r="Z46" s="41"/>
      <c r="AA46" s="42"/>
    </row>
    <row r="47" spans="1:27" x14ac:dyDescent="0.25">
      <c r="A47" s="13"/>
      <c r="B47" s="6" t="s">
        <v>76</v>
      </c>
      <c r="C47" s="10">
        <v>27</v>
      </c>
      <c r="D47" s="11"/>
      <c r="E47" s="12"/>
      <c r="F47" s="12"/>
      <c r="G47" s="12"/>
      <c r="H47" s="12"/>
      <c r="I47" s="12"/>
      <c r="J47" s="27"/>
      <c r="L47" s="11">
        <f>Test!B117</f>
        <v>1338.152</v>
      </c>
      <c r="M47" s="12">
        <f>Test!C117</f>
        <v>42.832599999999999</v>
      </c>
      <c r="N47" s="12">
        <f>Test!D117</f>
        <v>48.692900000000002</v>
      </c>
      <c r="O47" s="12">
        <f>Test!E117</f>
        <v>48.407800000000002</v>
      </c>
      <c r="P47" s="12">
        <f>Test!F117</f>
        <v>13883.68</v>
      </c>
      <c r="Q47" s="12">
        <f>Test!G117</f>
        <v>5.2720000000000002</v>
      </c>
      <c r="R47" s="27">
        <f t="shared" si="4"/>
        <v>3.8565777777777779</v>
      </c>
      <c r="S47" s="15" t="e">
        <f t="shared" si="5"/>
        <v>#DIV/0!</v>
      </c>
      <c r="T47" s="16" t="e">
        <f t="shared" si="6"/>
        <v>#DIV/0!</v>
      </c>
      <c r="U47" s="36"/>
      <c r="V47" s="57" t="e">
        <f>bdrate($D47:$D50,E47:E50,$L47:$L50,M47:M50)</f>
        <v>#VALUE!</v>
      </c>
      <c r="W47" s="58" t="e">
        <f>bdrate($D47:$D50,F47:F50,$L47:$L50,N47:N50)</f>
        <v>#VALUE!</v>
      </c>
      <c r="X47" s="59" t="e">
        <f>bdrate($D47:$D50,G47:G50,$L47:$L50,O47:O50)</f>
        <v>#VALUE!</v>
      </c>
      <c r="Y47" s="33" t="e">
        <f>bdrateOld($D47:$D50,E47:E50,$L47:$L50,M47:M50)</f>
        <v>#VALUE!</v>
      </c>
      <c r="Z47" s="34" t="e">
        <f>bdrateOld($D47:$D50,F47:F50,$L47:$L50,N47:N50)</f>
        <v>#VALUE!</v>
      </c>
      <c r="AA47" s="35" t="e">
        <f>bdrateOld($D47:$D50,G47:G50,$L47:$L50,O47:O50)</f>
        <v>#VALUE!</v>
      </c>
    </row>
    <row r="48" spans="1:27" x14ac:dyDescent="0.25">
      <c r="A48" s="13"/>
      <c r="B48" s="14"/>
      <c r="C48" s="13">
        <v>32</v>
      </c>
      <c r="D48" s="15"/>
      <c r="E48" s="16"/>
      <c r="F48" s="16"/>
      <c r="G48" s="16"/>
      <c r="H48" s="16"/>
      <c r="I48" s="16"/>
      <c r="J48" s="28"/>
      <c r="L48" s="15">
        <f>Test!B118</f>
        <v>725.34</v>
      </c>
      <c r="M48" s="16">
        <f>Test!C118</f>
        <v>41.560499999999998</v>
      </c>
      <c r="N48" s="16">
        <f>Test!D118</f>
        <v>47.8065</v>
      </c>
      <c r="O48" s="16">
        <f>Test!E118</f>
        <v>47.362499999999997</v>
      </c>
      <c r="P48" s="16">
        <f>Test!F118</f>
        <v>8797.5550000000003</v>
      </c>
      <c r="Q48" s="16">
        <f>Test!G118</f>
        <v>4.944</v>
      </c>
      <c r="R48" s="28">
        <f t="shared" ref="R48:R71" si="7">P48/3600</f>
        <v>2.4437652777777781</v>
      </c>
      <c r="S48" s="15" t="e">
        <f t="shared" si="5"/>
        <v>#DIV/0!</v>
      </c>
      <c r="T48" s="16" t="e">
        <f t="shared" si="6"/>
        <v>#DIV/0!</v>
      </c>
      <c r="U48" s="36"/>
      <c r="V48" s="60"/>
      <c r="W48" s="61"/>
      <c r="X48" s="62"/>
      <c r="Y48" s="37"/>
      <c r="Z48" s="38"/>
      <c r="AA48" s="39"/>
    </row>
    <row r="49" spans="1:27" x14ac:dyDescent="0.25">
      <c r="A49" s="13"/>
      <c r="B49" s="14"/>
      <c r="C49" s="13">
        <v>38</v>
      </c>
      <c r="D49" s="15"/>
      <c r="E49" s="16"/>
      <c r="F49" s="16"/>
      <c r="G49" s="16"/>
      <c r="H49" s="16"/>
      <c r="I49" s="16"/>
      <c r="J49" s="28"/>
      <c r="L49" s="15">
        <f>Test!B119</f>
        <v>409.86399999999998</v>
      </c>
      <c r="M49" s="16">
        <f>Test!C119</f>
        <v>39.700299999999999</v>
      </c>
      <c r="N49" s="16">
        <f>Test!D119</f>
        <v>46.743699999999997</v>
      </c>
      <c r="O49" s="16">
        <f>Test!E119</f>
        <v>45.837699999999998</v>
      </c>
      <c r="P49" s="16">
        <f>Test!F119</f>
        <v>5342.509</v>
      </c>
      <c r="Q49" s="16">
        <f>Test!G119</f>
        <v>5.1740000000000004</v>
      </c>
      <c r="R49" s="28">
        <f t="shared" si="7"/>
        <v>1.4840302777777779</v>
      </c>
      <c r="S49" s="15" t="e">
        <f t="shared" si="5"/>
        <v>#DIV/0!</v>
      </c>
      <c r="T49" s="16" t="e">
        <f t="shared" si="6"/>
        <v>#DIV/0!</v>
      </c>
      <c r="U49" s="36"/>
      <c r="V49" s="60"/>
      <c r="W49" s="61"/>
      <c r="X49" s="62"/>
      <c r="Y49" s="37"/>
      <c r="Z49" s="38"/>
      <c r="AA49" s="39"/>
    </row>
    <row r="50" spans="1:27" ht="12" thickBot="1" x14ac:dyDescent="0.3">
      <c r="A50" s="18"/>
      <c r="B50" s="17"/>
      <c r="C50" s="18">
        <v>45</v>
      </c>
      <c r="D50" s="19"/>
      <c r="E50" s="20"/>
      <c r="F50" s="20"/>
      <c r="G50" s="20"/>
      <c r="H50" s="20"/>
      <c r="I50" s="20"/>
      <c r="J50" s="29"/>
      <c r="L50" s="19">
        <f>Test!B120</f>
        <v>222.136</v>
      </c>
      <c r="M50" s="20">
        <f>Test!C120</f>
        <v>36.924599999999998</v>
      </c>
      <c r="N50" s="20">
        <f>Test!D120</f>
        <v>45.1678</v>
      </c>
      <c r="O50" s="20">
        <f>Test!E120</f>
        <v>43.301000000000002</v>
      </c>
      <c r="P50" s="20">
        <f>Test!F120</f>
        <v>3403.5390000000002</v>
      </c>
      <c r="Q50" s="20">
        <f>Test!G120</f>
        <v>5.008</v>
      </c>
      <c r="R50" s="29">
        <f t="shared" si="7"/>
        <v>0.94542750000000009</v>
      </c>
      <c r="S50" s="19" t="e">
        <f t="shared" si="5"/>
        <v>#DIV/0!</v>
      </c>
      <c r="T50" s="20" t="e">
        <f t="shared" si="6"/>
        <v>#DIV/0!</v>
      </c>
      <c r="U50" s="43"/>
      <c r="V50" s="63"/>
      <c r="W50" s="64"/>
      <c r="X50" s="65"/>
      <c r="Y50" s="40"/>
      <c r="Z50" s="41"/>
      <c r="AA50" s="42"/>
    </row>
    <row r="51" spans="1:27" ht="12" x14ac:dyDescent="0.25">
      <c r="A51" s="9" t="s">
        <v>77</v>
      </c>
      <c r="B51" s="10" t="s">
        <v>57</v>
      </c>
      <c r="C51" s="10">
        <v>43</v>
      </c>
      <c r="D51" s="11">
        <f>Reference!B121</f>
        <v>0</v>
      </c>
      <c r="E51" s="12">
        <f>Reference!C121</f>
        <v>0</v>
      </c>
      <c r="F51" s="12">
        <f>Reference!D121</f>
        <v>0</v>
      </c>
      <c r="G51" s="12">
        <f>Reference!E121</f>
        <v>0</v>
      </c>
      <c r="H51" s="12">
        <f>Reference!F121</f>
        <v>0</v>
      </c>
      <c r="I51" s="12">
        <f>Reference!G121</f>
        <v>0</v>
      </c>
      <c r="J51" s="27">
        <f t="shared" ref="J51:J71" si="8">H51/3600</f>
        <v>0</v>
      </c>
      <c r="L51" s="11">
        <f>Test!B121</f>
        <v>0</v>
      </c>
      <c r="M51" s="12">
        <f>Test!C121</f>
        <v>0</v>
      </c>
      <c r="N51" s="12">
        <f>Test!D121</f>
        <v>0</v>
      </c>
      <c r="O51" s="12">
        <f>Test!E121</f>
        <v>0</v>
      </c>
      <c r="P51" s="12">
        <f>Test!F121</f>
        <v>0</v>
      </c>
      <c r="Q51" s="12">
        <f>Test!G121</f>
        <v>0</v>
      </c>
      <c r="R51" s="27">
        <f t="shared" si="7"/>
        <v>0</v>
      </c>
      <c r="S51" s="11" t="e">
        <f t="shared" si="5"/>
        <v>#DIV/0!</v>
      </c>
      <c r="T51" s="12" t="e">
        <f t="shared" si="6"/>
        <v>#DIV/0!</v>
      </c>
      <c r="U51" s="32"/>
      <c r="V51" s="57" t="e">
        <f>bdrate($D51:$D54,E51:E54,$L51:$L54,M51:M54)</f>
        <v>#VALUE!</v>
      </c>
      <c r="W51" s="58" t="e">
        <f>bdrate($D51:$D54,F51:F54,$L51:$L54,N51:N54)</f>
        <v>#VALUE!</v>
      </c>
      <c r="X51" s="58" t="e">
        <f>bdrate($D51:$D54,G51:G54,$L51:$L54,O51:O54)</f>
        <v>#VALUE!</v>
      </c>
      <c r="Y51" s="44" t="e">
        <f>bdrateOld($D51:$D54,E51:E54,$L51:$L54,M51:M54)</f>
        <v>#VALUE!</v>
      </c>
      <c r="Z51" s="45" t="e">
        <f>bdrateOld($D51:$D54,F51:F54,$L51:$L54,N51:N54)</f>
        <v>#VALUE!</v>
      </c>
      <c r="AA51" s="46" t="e">
        <f>bdrateOld($D51:$D54,G51:G54,$L51:$L54,O51:O54)</f>
        <v>#VALUE!</v>
      </c>
    </row>
    <row r="52" spans="1:27" x14ac:dyDescent="0.25">
      <c r="A52" s="13" t="s">
        <v>73</v>
      </c>
      <c r="B52" s="13"/>
      <c r="C52" s="13">
        <v>48</v>
      </c>
      <c r="D52" s="15">
        <f>Reference!B122</f>
        <v>0</v>
      </c>
      <c r="E52" s="16">
        <f>Reference!C122</f>
        <v>0</v>
      </c>
      <c r="F52" s="16">
        <f>Reference!D122</f>
        <v>0</v>
      </c>
      <c r="G52" s="16">
        <f>Reference!E122</f>
        <v>0</v>
      </c>
      <c r="H52" s="16">
        <f>Reference!F122</f>
        <v>0</v>
      </c>
      <c r="I52" s="16">
        <f>Reference!G122</f>
        <v>0</v>
      </c>
      <c r="J52" s="28">
        <f t="shared" si="8"/>
        <v>0</v>
      </c>
      <c r="L52" s="15">
        <f>Test!B122</f>
        <v>0</v>
      </c>
      <c r="M52" s="16">
        <f>Test!C122</f>
        <v>0</v>
      </c>
      <c r="N52" s="16">
        <f>Test!D122</f>
        <v>0</v>
      </c>
      <c r="O52" s="16">
        <f>Test!E122</f>
        <v>0</v>
      </c>
      <c r="P52" s="16">
        <f>Test!F122</f>
        <v>0</v>
      </c>
      <c r="Q52" s="16">
        <f>Test!G122</f>
        <v>0</v>
      </c>
      <c r="R52" s="28">
        <f t="shared" si="7"/>
        <v>0</v>
      </c>
      <c r="S52" s="15" t="e">
        <f t="shared" si="5"/>
        <v>#DIV/0!</v>
      </c>
      <c r="T52" s="16" t="e">
        <f t="shared" si="6"/>
        <v>#DIV/0!</v>
      </c>
      <c r="U52" s="36"/>
      <c r="V52" s="60"/>
      <c r="W52" s="61"/>
      <c r="X52" s="61"/>
      <c r="Y52" s="37"/>
      <c r="Z52" s="38"/>
      <c r="AA52" s="39"/>
    </row>
    <row r="53" spans="1:27" x14ac:dyDescent="0.25">
      <c r="A53" s="13"/>
      <c r="B53" s="13"/>
      <c r="C53" s="13">
        <v>54</v>
      </c>
      <c r="D53" s="15">
        <f>Reference!B123</f>
        <v>0</v>
      </c>
      <c r="E53" s="16">
        <f>Reference!C123</f>
        <v>0</v>
      </c>
      <c r="F53" s="16">
        <f>Reference!D123</f>
        <v>0</v>
      </c>
      <c r="G53" s="16">
        <f>Reference!E123</f>
        <v>0</v>
      </c>
      <c r="H53" s="16">
        <f>Reference!F123</f>
        <v>0</v>
      </c>
      <c r="I53" s="16">
        <f>Reference!G123</f>
        <v>0</v>
      </c>
      <c r="J53" s="28">
        <f t="shared" si="8"/>
        <v>0</v>
      </c>
      <c r="L53" s="15">
        <f>Test!B123</f>
        <v>0</v>
      </c>
      <c r="M53" s="16">
        <f>Test!C123</f>
        <v>0</v>
      </c>
      <c r="N53" s="16">
        <f>Test!D123</f>
        <v>0</v>
      </c>
      <c r="O53" s="16">
        <f>Test!E123</f>
        <v>0</v>
      </c>
      <c r="P53" s="16">
        <f>Test!F123</f>
        <v>0</v>
      </c>
      <c r="Q53" s="16">
        <f>Test!G123</f>
        <v>0</v>
      </c>
      <c r="R53" s="28">
        <f t="shared" si="7"/>
        <v>0</v>
      </c>
      <c r="S53" s="15" t="e">
        <f t="shared" si="5"/>
        <v>#DIV/0!</v>
      </c>
      <c r="T53" s="16" t="e">
        <f t="shared" si="6"/>
        <v>#DIV/0!</v>
      </c>
      <c r="U53" s="36"/>
      <c r="V53" s="60"/>
      <c r="W53" s="61"/>
      <c r="X53" s="61"/>
      <c r="Y53" s="37"/>
      <c r="Z53" s="38"/>
      <c r="AA53" s="39"/>
    </row>
    <row r="54" spans="1:27" ht="12" thickBot="1" x14ac:dyDescent="0.3">
      <c r="A54" s="13"/>
      <c r="B54" s="18"/>
      <c r="C54" s="18">
        <v>61</v>
      </c>
      <c r="D54" s="19">
        <f>Reference!B124</f>
        <v>0</v>
      </c>
      <c r="E54" s="20">
        <f>Reference!C124</f>
        <v>0</v>
      </c>
      <c r="F54" s="20">
        <f>Reference!D124</f>
        <v>0</v>
      </c>
      <c r="G54" s="20">
        <f>Reference!E124</f>
        <v>0</v>
      </c>
      <c r="H54" s="20">
        <f>Reference!F124</f>
        <v>0</v>
      </c>
      <c r="I54" s="20">
        <f>Reference!G124</f>
        <v>0</v>
      </c>
      <c r="J54" s="29">
        <f t="shared" si="8"/>
        <v>0</v>
      </c>
      <c r="L54" s="19">
        <f>Test!B124</f>
        <v>0</v>
      </c>
      <c r="M54" s="20">
        <f>Test!C124</f>
        <v>0</v>
      </c>
      <c r="N54" s="20">
        <f>Test!D124</f>
        <v>0</v>
      </c>
      <c r="O54" s="20">
        <f>Test!E124</f>
        <v>0</v>
      </c>
      <c r="P54" s="20">
        <f>Test!F124</f>
        <v>0</v>
      </c>
      <c r="Q54" s="20">
        <f>Test!G124</f>
        <v>0</v>
      </c>
      <c r="R54" s="29">
        <f t="shared" si="7"/>
        <v>0</v>
      </c>
      <c r="S54" s="15" t="e">
        <f t="shared" si="5"/>
        <v>#DIV/0!</v>
      </c>
      <c r="T54" s="16" t="e">
        <f t="shared" si="6"/>
        <v>#DIV/0!</v>
      </c>
      <c r="U54" s="36"/>
      <c r="V54" s="63"/>
      <c r="W54" s="64"/>
      <c r="X54" s="64"/>
      <c r="Y54" s="40"/>
      <c r="Z54" s="41"/>
      <c r="AA54" s="42"/>
    </row>
    <row r="55" spans="1:27" x14ac:dyDescent="0.25">
      <c r="A55" s="13"/>
      <c r="B55" s="10" t="s">
        <v>58</v>
      </c>
      <c r="C55" s="10">
        <v>43</v>
      </c>
      <c r="D55" s="11">
        <f>Reference!B125</f>
        <v>0</v>
      </c>
      <c r="E55" s="12">
        <f>Reference!C125</f>
        <v>0</v>
      </c>
      <c r="F55" s="12">
        <f>Reference!D125</f>
        <v>0</v>
      </c>
      <c r="G55" s="12">
        <f>Reference!E125</f>
        <v>0</v>
      </c>
      <c r="H55" s="12">
        <f>Reference!F125</f>
        <v>0</v>
      </c>
      <c r="I55" s="12">
        <f>Reference!G125</f>
        <v>0</v>
      </c>
      <c r="J55" s="27">
        <f t="shared" si="8"/>
        <v>0</v>
      </c>
      <c r="L55" s="11">
        <f>Test!B125</f>
        <v>0</v>
      </c>
      <c r="M55" s="12">
        <f>Test!C125</f>
        <v>0</v>
      </c>
      <c r="N55" s="12">
        <f>Test!D125</f>
        <v>0</v>
      </c>
      <c r="O55" s="12">
        <f>Test!E125</f>
        <v>0</v>
      </c>
      <c r="P55" s="12">
        <f>Test!F125</f>
        <v>0</v>
      </c>
      <c r="Q55" s="12">
        <f>Test!G125</f>
        <v>0</v>
      </c>
      <c r="R55" s="27">
        <f t="shared" si="7"/>
        <v>0</v>
      </c>
      <c r="S55" s="15" t="e">
        <f t="shared" si="5"/>
        <v>#DIV/0!</v>
      </c>
      <c r="T55" s="16" t="e">
        <f t="shared" si="6"/>
        <v>#DIV/0!</v>
      </c>
      <c r="U55" s="36"/>
      <c r="V55" s="57" t="e">
        <f>bdrate($D55:$D58,E55:E58,$L55:$L58,M55:M58)</f>
        <v>#VALUE!</v>
      </c>
      <c r="W55" s="58" t="e">
        <f>bdrate($D55:$D58,F55:F58,$L55:$L58,N55:N58)</f>
        <v>#VALUE!</v>
      </c>
      <c r="X55" s="58" t="e">
        <f>bdrate($D55:$D58,G55:G58,$L55:$L58,O55:O58)</f>
        <v>#VALUE!</v>
      </c>
      <c r="Y55" s="44" t="e">
        <f>bdrateOld($D55:$D58,E55:E58,$L55:$L58,M55:M58)</f>
        <v>#VALUE!</v>
      </c>
      <c r="Z55" s="45" t="e">
        <f>bdrateOld($D55:$D58,F55:F58,$L55:$L58,N55:N58)</f>
        <v>#VALUE!</v>
      </c>
      <c r="AA55" s="46" t="e">
        <f>bdrateOld($D55:$D58,G55:G58,$L55:$L58,O55:O58)</f>
        <v>#VALUE!</v>
      </c>
    </row>
    <row r="56" spans="1:27" x14ac:dyDescent="0.25">
      <c r="A56" s="13"/>
      <c r="B56" s="13"/>
      <c r="C56" s="13">
        <v>48</v>
      </c>
      <c r="D56" s="15">
        <f>Reference!B126</f>
        <v>0</v>
      </c>
      <c r="E56" s="16">
        <f>Reference!C126</f>
        <v>0</v>
      </c>
      <c r="F56" s="16">
        <f>Reference!D126</f>
        <v>0</v>
      </c>
      <c r="G56" s="16">
        <f>Reference!E126</f>
        <v>0</v>
      </c>
      <c r="H56" s="16">
        <f>Reference!F126</f>
        <v>0</v>
      </c>
      <c r="I56" s="16">
        <f>Reference!G126</f>
        <v>0</v>
      </c>
      <c r="J56" s="28">
        <f t="shared" si="8"/>
        <v>0</v>
      </c>
      <c r="L56" s="15">
        <f>Test!B126</f>
        <v>0</v>
      </c>
      <c r="M56" s="16">
        <f>Test!C126</f>
        <v>0</v>
      </c>
      <c r="N56" s="16">
        <f>Test!D126</f>
        <v>0</v>
      </c>
      <c r="O56" s="16">
        <f>Test!E126</f>
        <v>0</v>
      </c>
      <c r="P56" s="16">
        <f>Test!F126</f>
        <v>0</v>
      </c>
      <c r="Q56" s="16">
        <f>Test!G126</f>
        <v>0</v>
      </c>
      <c r="R56" s="28">
        <f t="shared" si="7"/>
        <v>0</v>
      </c>
      <c r="S56" s="15" t="e">
        <f t="shared" si="5"/>
        <v>#DIV/0!</v>
      </c>
      <c r="T56" s="16" t="e">
        <f t="shared" si="6"/>
        <v>#DIV/0!</v>
      </c>
      <c r="U56" s="36"/>
      <c r="V56" s="60"/>
      <c r="W56" s="61"/>
      <c r="X56" s="61"/>
      <c r="Y56" s="37"/>
      <c r="Z56" s="38"/>
      <c r="AA56" s="39"/>
    </row>
    <row r="57" spans="1:27" x14ac:dyDescent="0.25">
      <c r="A57" s="13"/>
      <c r="B57" s="13"/>
      <c r="C57" s="13">
        <v>54</v>
      </c>
      <c r="D57" s="15">
        <f>Reference!B127</f>
        <v>0</v>
      </c>
      <c r="E57" s="16">
        <f>Reference!C127</f>
        <v>0</v>
      </c>
      <c r="F57" s="16">
        <f>Reference!D127</f>
        <v>0</v>
      </c>
      <c r="G57" s="16">
        <f>Reference!E127</f>
        <v>0</v>
      </c>
      <c r="H57" s="16">
        <f>Reference!F127</f>
        <v>0</v>
      </c>
      <c r="I57" s="16">
        <f>Reference!G127</f>
        <v>0</v>
      </c>
      <c r="J57" s="28">
        <f t="shared" si="8"/>
        <v>0</v>
      </c>
      <c r="L57" s="15">
        <f>Test!B127</f>
        <v>0</v>
      </c>
      <c r="M57" s="16">
        <f>Test!C127</f>
        <v>0</v>
      </c>
      <c r="N57" s="16">
        <f>Test!D127</f>
        <v>0</v>
      </c>
      <c r="O57" s="16">
        <f>Test!E127</f>
        <v>0</v>
      </c>
      <c r="P57" s="16">
        <f>Test!F127</f>
        <v>0</v>
      </c>
      <c r="Q57" s="16">
        <f>Test!G127</f>
        <v>0</v>
      </c>
      <c r="R57" s="28">
        <f t="shared" si="7"/>
        <v>0</v>
      </c>
      <c r="S57" s="15" t="e">
        <f t="shared" si="5"/>
        <v>#DIV/0!</v>
      </c>
      <c r="T57" s="16" t="e">
        <f t="shared" si="6"/>
        <v>#DIV/0!</v>
      </c>
      <c r="U57" s="36"/>
      <c r="V57" s="60"/>
      <c r="W57" s="61"/>
      <c r="X57" s="61"/>
      <c r="Y57" s="37"/>
      <c r="Z57" s="38"/>
      <c r="AA57" s="39"/>
    </row>
    <row r="58" spans="1:27" ht="12" thickBot="1" x14ac:dyDescent="0.3">
      <c r="A58" s="18"/>
      <c r="B58" s="18"/>
      <c r="C58" s="18">
        <v>61</v>
      </c>
      <c r="D58" s="19">
        <f>Reference!B128</f>
        <v>0</v>
      </c>
      <c r="E58" s="20">
        <f>Reference!C128</f>
        <v>0</v>
      </c>
      <c r="F58" s="20">
        <f>Reference!D128</f>
        <v>0</v>
      </c>
      <c r="G58" s="20">
        <f>Reference!E128</f>
        <v>0</v>
      </c>
      <c r="H58" s="20">
        <f>Reference!F128</f>
        <v>0</v>
      </c>
      <c r="I58" s="20">
        <f>Reference!G128</f>
        <v>0</v>
      </c>
      <c r="J58" s="29">
        <f t="shared" si="8"/>
        <v>0</v>
      </c>
      <c r="L58" s="19">
        <f>Test!B128</f>
        <v>0</v>
      </c>
      <c r="M58" s="20">
        <f>Test!C128</f>
        <v>0</v>
      </c>
      <c r="N58" s="20">
        <f>Test!D128</f>
        <v>0</v>
      </c>
      <c r="O58" s="20">
        <f>Test!E128</f>
        <v>0</v>
      </c>
      <c r="P58" s="20">
        <f>Test!F128</f>
        <v>0</v>
      </c>
      <c r="Q58" s="20">
        <f>Test!G128</f>
        <v>0</v>
      </c>
      <c r="R58" s="29">
        <f t="shared" si="7"/>
        <v>0</v>
      </c>
      <c r="S58" s="19" t="e">
        <f t="shared" si="5"/>
        <v>#DIV/0!</v>
      </c>
      <c r="T58" s="20" t="e">
        <f t="shared" si="6"/>
        <v>#DIV/0!</v>
      </c>
      <c r="U58" s="43"/>
      <c r="V58" s="63"/>
      <c r="W58" s="64"/>
      <c r="X58" s="64"/>
      <c r="Y58" s="40"/>
      <c r="Z58" s="41"/>
      <c r="AA58" s="42"/>
    </row>
    <row r="59" spans="1:27" x14ac:dyDescent="0.25">
      <c r="A59" s="13" t="s">
        <v>84</v>
      </c>
      <c r="B59" s="6" t="s">
        <v>59</v>
      </c>
      <c r="C59" s="10">
        <v>27</v>
      </c>
      <c r="D59" s="11">
        <f>Reference!B129</f>
        <v>0</v>
      </c>
      <c r="E59" s="12">
        <f>Reference!C129</f>
        <v>0</v>
      </c>
      <c r="F59" s="12">
        <f>Reference!D129</f>
        <v>0</v>
      </c>
      <c r="G59" s="12">
        <f>Reference!E129</f>
        <v>0</v>
      </c>
      <c r="H59" s="12">
        <f>Reference!F129</f>
        <v>0</v>
      </c>
      <c r="I59" s="12">
        <f>Reference!G129</f>
        <v>0</v>
      </c>
      <c r="J59" s="27">
        <f t="shared" si="8"/>
        <v>0</v>
      </c>
      <c r="L59" s="11">
        <f>Test!B129</f>
        <v>0</v>
      </c>
      <c r="M59" s="12">
        <f>Test!C129</f>
        <v>0</v>
      </c>
      <c r="N59" s="12">
        <f>Test!D129</f>
        <v>0</v>
      </c>
      <c r="O59" s="12">
        <f>Test!E129</f>
        <v>0</v>
      </c>
      <c r="P59" s="12">
        <f>Test!F129</f>
        <v>0</v>
      </c>
      <c r="Q59" s="12">
        <f>Test!G129</f>
        <v>0</v>
      </c>
      <c r="R59" s="27">
        <f t="shared" si="7"/>
        <v>0</v>
      </c>
      <c r="S59" s="11" t="e">
        <f t="shared" si="5"/>
        <v>#DIV/0!</v>
      </c>
      <c r="T59" s="12" t="e">
        <f t="shared" si="6"/>
        <v>#DIV/0!</v>
      </c>
      <c r="U59" s="32"/>
      <c r="V59" s="33" t="e">
        <f>bdrate($D59:$D62,E59:E62,$L59:$L62,M59:M62)</f>
        <v>#VALUE!</v>
      </c>
      <c r="W59" s="34" t="e">
        <f>bdrate($D59:$D62,F59:F62,$L59:$L62,N59:N62)</f>
        <v>#VALUE!</v>
      </c>
      <c r="X59" s="34" t="e">
        <f>bdrate($D59:$D62,G59:G62,$L59:$L62,O59:O62)</f>
        <v>#VALUE!</v>
      </c>
      <c r="Y59" s="44" t="e">
        <f>bdrateOld($D59:$D62,E59:E62,$L59:$L62,M59:M62)</f>
        <v>#VALUE!</v>
      </c>
      <c r="Z59" s="45" t="e">
        <f>bdrateOld($D59:$D62,F59:F62,$L59:$L62,N59:N62)</f>
        <v>#VALUE!</v>
      </c>
      <c r="AA59" s="46" t="e">
        <f>bdrateOld($D59:$D62,G59:G62,$L59:$L62,O59:O62)</f>
        <v>#VALUE!</v>
      </c>
    </row>
    <row r="60" spans="1:27" x14ac:dyDescent="0.25">
      <c r="A60" s="13"/>
      <c r="B60" s="14"/>
      <c r="C60" s="13">
        <v>32</v>
      </c>
      <c r="D60" s="15">
        <f>Reference!B130</f>
        <v>0</v>
      </c>
      <c r="E60" s="16">
        <f>Reference!C130</f>
        <v>0</v>
      </c>
      <c r="F60" s="16">
        <f>Reference!D130</f>
        <v>0</v>
      </c>
      <c r="G60" s="16">
        <f>Reference!E130</f>
        <v>0</v>
      </c>
      <c r="H60" s="16">
        <f>Reference!F130</f>
        <v>0</v>
      </c>
      <c r="I60" s="16">
        <f>Reference!G130</f>
        <v>0</v>
      </c>
      <c r="J60" s="28">
        <f t="shared" si="8"/>
        <v>0</v>
      </c>
      <c r="L60" s="15">
        <f>Test!B130</f>
        <v>0</v>
      </c>
      <c r="M60" s="16">
        <f>Test!C130</f>
        <v>0</v>
      </c>
      <c r="N60" s="16">
        <f>Test!D130</f>
        <v>0</v>
      </c>
      <c r="O60" s="16">
        <f>Test!E130</f>
        <v>0</v>
      </c>
      <c r="P60" s="16">
        <f>Test!F130</f>
        <v>0</v>
      </c>
      <c r="Q60" s="16">
        <f>Test!G130</f>
        <v>0</v>
      </c>
      <c r="R60" s="28">
        <f t="shared" si="7"/>
        <v>0</v>
      </c>
      <c r="S60" s="15" t="e">
        <f t="shared" si="5"/>
        <v>#DIV/0!</v>
      </c>
      <c r="T60" s="16" t="e">
        <f t="shared" si="6"/>
        <v>#DIV/0!</v>
      </c>
      <c r="U60" s="36"/>
      <c r="V60" s="37"/>
      <c r="W60" s="38"/>
      <c r="X60" s="38"/>
      <c r="Y60" s="37"/>
      <c r="Z60" s="38"/>
      <c r="AA60" s="39"/>
    </row>
    <row r="61" spans="1:27" x14ac:dyDescent="0.25">
      <c r="A61" s="13"/>
      <c r="B61" s="14"/>
      <c r="C61" s="13">
        <v>38</v>
      </c>
      <c r="D61" s="15">
        <f>Reference!B131</f>
        <v>0</v>
      </c>
      <c r="E61" s="16">
        <f>Reference!C131</f>
        <v>0</v>
      </c>
      <c r="F61" s="16">
        <f>Reference!D131</f>
        <v>0</v>
      </c>
      <c r="G61" s="16">
        <f>Reference!E131</f>
        <v>0</v>
      </c>
      <c r="H61" s="16">
        <f>Reference!F131</f>
        <v>0</v>
      </c>
      <c r="I61" s="16">
        <f>Reference!G131</f>
        <v>0</v>
      </c>
      <c r="J61" s="28">
        <f t="shared" si="8"/>
        <v>0</v>
      </c>
      <c r="L61" s="15">
        <f>Test!B131</f>
        <v>0</v>
      </c>
      <c r="M61" s="16">
        <f>Test!C131</f>
        <v>0</v>
      </c>
      <c r="N61" s="16">
        <f>Test!D131</f>
        <v>0</v>
      </c>
      <c r="O61" s="16">
        <f>Test!E131</f>
        <v>0</v>
      </c>
      <c r="P61" s="16">
        <f>Test!F131</f>
        <v>0</v>
      </c>
      <c r="Q61" s="16">
        <f>Test!G131</f>
        <v>0</v>
      </c>
      <c r="R61" s="28">
        <f t="shared" si="7"/>
        <v>0</v>
      </c>
      <c r="S61" s="15" t="e">
        <f t="shared" si="5"/>
        <v>#DIV/0!</v>
      </c>
      <c r="T61" s="16" t="e">
        <f t="shared" si="6"/>
        <v>#DIV/0!</v>
      </c>
      <c r="U61" s="36"/>
      <c r="V61" s="37"/>
      <c r="W61" s="38"/>
      <c r="X61" s="38"/>
      <c r="Y61" s="37"/>
      <c r="Z61" s="38"/>
      <c r="AA61" s="39"/>
    </row>
    <row r="62" spans="1:27" ht="12" thickBot="1" x14ac:dyDescent="0.3">
      <c r="A62" s="13"/>
      <c r="B62" s="17"/>
      <c r="C62" s="18">
        <v>45</v>
      </c>
      <c r="D62" s="19">
        <f>Reference!B132</f>
        <v>0</v>
      </c>
      <c r="E62" s="20">
        <f>Reference!C132</f>
        <v>0</v>
      </c>
      <c r="F62" s="20">
        <f>Reference!D132</f>
        <v>0</v>
      </c>
      <c r="G62" s="20">
        <f>Reference!E132</f>
        <v>0</v>
      </c>
      <c r="H62" s="20">
        <f>Reference!F132</f>
        <v>0</v>
      </c>
      <c r="I62" s="20">
        <f>Reference!G132</f>
        <v>0</v>
      </c>
      <c r="J62" s="29">
        <f t="shared" si="8"/>
        <v>0</v>
      </c>
      <c r="L62" s="19">
        <f>Test!B132</f>
        <v>0</v>
      </c>
      <c r="M62" s="20">
        <f>Test!C132</f>
        <v>0</v>
      </c>
      <c r="N62" s="20">
        <f>Test!D132</f>
        <v>0</v>
      </c>
      <c r="O62" s="20">
        <f>Test!E132</f>
        <v>0</v>
      </c>
      <c r="P62" s="20">
        <f>Test!F132</f>
        <v>0</v>
      </c>
      <c r="Q62" s="20">
        <f>Test!G132</f>
        <v>0</v>
      </c>
      <c r="R62" s="29">
        <f t="shared" si="7"/>
        <v>0</v>
      </c>
      <c r="S62" s="15" t="e">
        <f t="shared" si="5"/>
        <v>#DIV/0!</v>
      </c>
      <c r="T62" s="16" t="e">
        <f t="shared" si="6"/>
        <v>#DIV/0!</v>
      </c>
      <c r="U62" s="36"/>
      <c r="V62" s="40"/>
      <c r="W62" s="41"/>
      <c r="X62" s="41"/>
      <c r="Y62" s="40"/>
      <c r="Z62" s="41"/>
      <c r="AA62" s="42"/>
    </row>
    <row r="63" spans="1:27" x14ac:dyDescent="0.25">
      <c r="A63" s="13"/>
      <c r="B63" s="6" t="s">
        <v>60</v>
      </c>
      <c r="C63" s="10">
        <v>27</v>
      </c>
      <c r="D63" s="11">
        <f>Reference!B133</f>
        <v>0</v>
      </c>
      <c r="E63" s="12">
        <f>Reference!C133</f>
        <v>0</v>
      </c>
      <c r="F63" s="12">
        <f>Reference!D133</f>
        <v>0</v>
      </c>
      <c r="G63" s="12">
        <f>Reference!E133</f>
        <v>0</v>
      </c>
      <c r="H63" s="12">
        <f>Reference!F133</f>
        <v>0</v>
      </c>
      <c r="I63" s="12">
        <f>Reference!G133</f>
        <v>0</v>
      </c>
      <c r="J63" s="27">
        <f t="shared" si="8"/>
        <v>0</v>
      </c>
      <c r="L63" s="11">
        <f>Test!B133</f>
        <v>0</v>
      </c>
      <c r="M63" s="12">
        <f>Test!C133</f>
        <v>0</v>
      </c>
      <c r="N63" s="12">
        <f>Test!D133</f>
        <v>0</v>
      </c>
      <c r="O63" s="12">
        <f>Test!E133</f>
        <v>0</v>
      </c>
      <c r="P63" s="12">
        <f>Test!F133</f>
        <v>0</v>
      </c>
      <c r="Q63" s="12">
        <f>Test!G133</f>
        <v>0</v>
      </c>
      <c r="R63" s="27">
        <f t="shared" si="7"/>
        <v>0</v>
      </c>
      <c r="S63" s="15" t="e">
        <f t="shared" si="5"/>
        <v>#DIV/0!</v>
      </c>
      <c r="T63" s="16" t="e">
        <f t="shared" si="6"/>
        <v>#DIV/0!</v>
      </c>
      <c r="U63" s="36"/>
      <c r="V63" s="33" t="e">
        <f>bdrate($D63:$D66,E63:E66,$L63:$L66,M63:M66)</f>
        <v>#VALUE!</v>
      </c>
      <c r="W63" s="34" t="e">
        <f>bdrate($D63:$D66,F63:F66,$L63:$L66,N63:N66)</f>
        <v>#VALUE!</v>
      </c>
      <c r="X63" s="34" t="e">
        <f>bdrate($D63:$D66,G63:G66,$L63:$L66,O63:O66)</f>
        <v>#VALUE!</v>
      </c>
      <c r="Y63" s="44" t="e">
        <f>bdrateOld($D63:$D66,E63:E66,$L63:$L66,M63:M66)</f>
        <v>#VALUE!</v>
      </c>
      <c r="Z63" s="45" t="e">
        <f>bdrateOld($D63:$D66,F63:F66,$L63:$L66,N63:N66)</f>
        <v>#VALUE!</v>
      </c>
      <c r="AA63" s="46" t="e">
        <f>bdrateOld($D63:$D66,G63:G66,$L63:$L66,O63:O66)</f>
        <v>#VALUE!</v>
      </c>
    </row>
    <row r="64" spans="1:27" x14ac:dyDescent="0.25">
      <c r="A64" s="13"/>
      <c r="B64" s="14"/>
      <c r="C64" s="13">
        <v>32</v>
      </c>
      <c r="D64" s="15">
        <f>Reference!B134</f>
        <v>0</v>
      </c>
      <c r="E64" s="16">
        <f>Reference!C134</f>
        <v>0</v>
      </c>
      <c r="F64" s="16">
        <f>Reference!D134</f>
        <v>0</v>
      </c>
      <c r="G64" s="16">
        <f>Reference!E134</f>
        <v>0</v>
      </c>
      <c r="H64" s="16">
        <f>Reference!F134</f>
        <v>0</v>
      </c>
      <c r="I64" s="16">
        <f>Reference!G134</f>
        <v>0</v>
      </c>
      <c r="J64" s="28">
        <f t="shared" si="8"/>
        <v>0</v>
      </c>
      <c r="L64" s="15">
        <f>Test!B134</f>
        <v>0</v>
      </c>
      <c r="M64" s="16">
        <f>Test!C134</f>
        <v>0</v>
      </c>
      <c r="N64" s="16">
        <f>Test!D134</f>
        <v>0</v>
      </c>
      <c r="O64" s="16">
        <f>Test!E134</f>
        <v>0</v>
      </c>
      <c r="P64" s="16">
        <f>Test!F134</f>
        <v>0</v>
      </c>
      <c r="Q64" s="16">
        <f>Test!G134</f>
        <v>0</v>
      </c>
      <c r="R64" s="28">
        <f t="shared" si="7"/>
        <v>0</v>
      </c>
      <c r="S64" s="15" t="e">
        <f t="shared" si="5"/>
        <v>#DIV/0!</v>
      </c>
      <c r="T64" s="16" t="e">
        <f t="shared" si="6"/>
        <v>#DIV/0!</v>
      </c>
      <c r="U64" s="36"/>
      <c r="V64" s="37"/>
      <c r="W64" s="38"/>
      <c r="X64" s="38"/>
      <c r="Y64" s="37"/>
      <c r="Z64" s="38"/>
      <c r="AA64" s="39"/>
    </row>
    <row r="65" spans="1:27" x14ac:dyDescent="0.25">
      <c r="A65" s="13"/>
      <c r="B65" s="14"/>
      <c r="C65" s="13">
        <v>38</v>
      </c>
      <c r="D65" s="15">
        <f>Reference!B135</f>
        <v>0</v>
      </c>
      <c r="E65" s="16">
        <f>Reference!C135</f>
        <v>0</v>
      </c>
      <c r="F65" s="16">
        <f>Reference!D135</f>
        <v>0</v>
      </c>
      <c r="G65" s="16">
        <f>Reference!E135</f>
        <v>0</v>
      </c>
      <c r="H65" s="16">
        <f>Reference!F135</f>
        <v>0</v>
      </c>
      <c r="I65" s="16">
        <f>Reference!G135</f>
        <v>0</v>
      </c>
      <c r="J65" s="28">
        <f t="shared" si="8"/>
        <v>0</v>
      </c>
      <c r="L65" s="15">
        <f>Test!B135</f>
        <v>0</v>
      </c>
      <c r="M65" s="16">
        <f>Test!C135</f>
        <v>0</v>
      </c>
      <c r="N65" s="16">
        <f>Test!D135</f>
        <v>0</v>
      </c>
      <c r="O65" s="16">
        <f>Test!E135</f>
        <v>0</v>
      </c>
      <c r="P65" s="16">
        <f>Test!F135</f>
        <v>0</v>
      </c>
      <c r="Q65" s="16">
        <f>Test!G135</f>
        <v>0</v>
      </c>
      <c r="R65" s="28">
        <f t="shared" si="7"/>
        <v>0</v>
      </c>
      <c r="S65" s="15" t="e">
        <f t="shared" si="5"/>
        <v>#DIV/0!</v>
      </c>
      <c r="T65" s="16" t="e">
        <f t="shared" si="6"/>
        <v>#DIV/0!</v>
      </c>
      <c r="U65" s="36"/>
      <c r="V65" s="37"/>
      <c r="W65" s="38"/>
      <c r="X65" s="38"/>
      <c r="Y65" s="37"/>
      <c r="Z65" s="38"/>
      <c r="AA65" s="39"/>
    </row>
    <row r="66" spans="1:27" ht="12" thickBot="1" x14ac:dyDescent="0.3">
      <c r="A66" s="13"/>
      <c r="B66" s="17"/>
      <c r="C66" s="18">
        <v>45</v>
      </c>
      <c r="D66" s="19">
        <f>Reference!B136</f>
        <v>0</v>
      </c>
      <c r="E66" s="20">
        <f>Reference!C136</f>
        <v>0</v>
      </c>
      <c r="F66" s="20">
        <f>Reference!D136</f>
        <v>0</v>
      </c>
      <c r="G66" s="20">
        <f>Reference!E136</f>
        <v>0</v>
      </c>
      <c r="H66" s="20">
        <f>Reference!F136</f>
        <v>0</v>
      </c>
      <c r="I66" s="20">
        <f>Reference!G136</f>
        <v>0</v>
      </c>
      <c r="J66" s="29">
        <f t="shared" si="8"/>
        <v>0</v>
      </c>
      <c r="L66" s="19">
        <f>Test!B136</f>
        <v>0</v>
      </c>
      <c r="M66" s="20">
        <f>Test!C136</f>
        <v>0</v>
      </c>
      <c r="N66" s="20">
        <f>Test!D136</f>
        <v>0</v>
      </c>
      <c r="O66" s="20">
        <f>Test!E136</f>
        <v>0</v>
      </c>
      <c r="P66" s="20">
        <f>Test!F136</f>
        <v>0</v>
      </c>
      <c r="Q66" s="20">
        <f>Test!G136</f>
        <v>0</v>
      </c>
      <c r="R66" s="29">
        <f t="shared" si="7"/>
        <v>0</v>
      </c>
      <c r="S66" s="15" t="e">
        <f t="shared" si="5"/>
        <v>#DIV/0!</v>
      </c>
      <c r="T66" s="16" t="e">
        <f t="shared" si="6"/>
        <v>#DIV/0!</v>
      </c>
      <c r="U66" s="36"/>
      <c r="V66" s="40"/>
      <c r="W66" s="41"/>
      <c r="X66" s="41"/>
      <c r="Y66" s="40"/>
      <c r="Z66" s="41"/>
      <c r="AA66" s="42"/>
    </row>
    <row r="67" spans="1:27" x14ac:dyDescent="0.25">
      <c r="A67" s="13"/>
      <c r="B67" s="6" t="s">
        <v>33</v>
      </c>
      <c r="C67" s="10">
        <v>27</v>
      </c>
      <c r="D67" s="11">
        <f>Reference!B137</f>
        <v>0</v>
      </c>
      <c r="E67" s="12">
        <f>Reference!C137</f>
        <v>0</v>
      </c>
      <c r="F67" s="12">
        <f>Reference!D137</f>
        <v>0</v>
      </c>
      <c r="G67" s="12">
        <f>Reference!E137</f>
        <v>0</v>
      </c>
      <c r="H67" s="12">
        <f>Reference!F137</f>
        <v>0</v>
      </c>
      <c r="I67" s="12">
        <f>Reference!G137</f>
        <v>0</v>
      </c>
      <c r="J67" s="27">
        <f t="shared" si="8"/>
        <v>0</v>
      </c>
      <c r="L67" s="11">
        <f>Test!B137</f>
        <v>0</v>
      </c>
      <c r="M67" s="12">
        <f>Test!C137</f>
        <v>0</v>
      </c>
      <c r="N67" s="12">
        <f>Test!D137</f>
        <v>0</v>
      </c>
      <c r="O67" s="12">
        <f>Test!E137</f>
        <v>0</v>
      </c>
      <c r="P67" s="12">
        <f>Test!F137</f>
        <v>0</v>
      </c>
      <c r="Q67" s="12">
        <f>Test!G137</f>
        <v>0</v>
      </c>
      <c r="R67" s="27">
        <f t="shared" si="7"/>
        <v>0</v>
      </c>
      <c r="S67" s="15" t="e">
        <f t="shared" ref="S67:S74" si="9">P67/H67</f>
        <v>#DIV/0!</v>
      </c>
      <c r="T67" s="16" t="e">
        <f t="shared" ref="T67:T74" si="10">Q67/I67</f>
        <v>#DIV/0!</v>
      </c>
      <c r="U67" s="36"/>
      <c r="V67" s="33" t="e">
        <f>bdrate($D67:$D70,E67:E70,$L67:$L70,M67:M70)</f>
        <v>#VALUE!</v>
      </c>
      <c r="W67" s="34" t="e">
        <f>bdrate($D67:$D70,F67:F70,$L67:$L70,N67:N70)</f>
        <v>#VALUE!</v>
      </c>
      <c r="X67" s="34" t="e">
        <f>bdrate($D67:$D70,G67:G70,$L67:$L70,O67:O70)</f>
        <v>#VALUE!</v>
      </c>
      <c r="Y67" s="44" t="e">
        <f>bdrateOld($D67:$D70,E67:E70,$L67:$L70,M67:M70)</f>
        <v>#VALUE!</v>
      </c>
      <c r="Z67" s="45" t="e">
        <f>bdrateOld($D67:$D70,F67:F70,$L67:$L70,N67:N70)</f>
        <v>#VALUE!</v>
      </c>
      <c r="AA67" s="46" t="e">
        <f>bdrateOld($D67:$D70,G67:G70,$L67:$L70,O67:O70)</f>
        <v>#VALUE!</v>
      </c>
    </row>
    <row r="68" spans="1:27" x14ac:dyDescent="0.25">
      <c r="A68" s="13"/>
      <c r="B68" s="14"/>
      <c r="C68" s="13">
        <v>32</v>
      </c>
      <c r="D68" s="15">
        <f>Reference!B138</f>
        <v>0</v>
      </c>
      <c r="E68" s="16">
        <f>Reference!C138</f>
        <v>0</v>
      </c>
      <c r="F68" s="16">
        <f>Reference!D138</f>
        <v>0</v>
      </c>
      <c r="G68" s="16">
        <f>Reference!E138</f>
        <v>0</v>
      </c>
      <c r="H68" s="16">
        <f>Reference!F138</f>
        <v>0</v>
      </c>
      <c r="I68" s="16">
        <f>Reference!G138</f>
        <v>0</v>
      </c>
      <c r="J68" s="28">
        <f t="shared" si="8"/>
        <v>0</v>
      </c>
      <c r="L68" s="15">
        <f>Test!B138</f>
        <v>0</v>
      </c>
      <c r="M68" s="16">
        <f>Test!C138</f>
        <v>0</v>
      </c>
      <c r="N68" s="16">
        <f>Test!D138</f>
        <v>0</v>
      </c>
      <c r="O68" s="16">
        <f>Test!E138</f>
        <v>0</v>
      </c>
      <c r="P68" s="16">
        <f>Test!F138</f>
        <v>0</v>
      </c>
      <c r="Q68" s="16">
        <f>Test!G138</f>
        <v>0</v>
      </c>
      <c r="R68" s="28">
        <f t="shared" si="7"/>
        <v>0</v>
      </c>
      <c r="S68" s="15" t="e">
        <f t="shared" si="9"/>
        <v>#DIV/0!</v>
      </c>
      <c r="T68" s="16" t="e">
        <f t="shared" si="10"/>
        <v>#DIV/0!</v>
      </c>
      <c r="U68" s="36"/>
      <c r="V68" s="37"/>
      <c r="W68" s="38"/>
      <c r="X68" s="38"/>
      <c r="Y68" s="37"/>
      <c r="Z68" s="38"/>
      <c r="AA68" s="39"/>
    </row>
    <row r="69" spans="1:27" x14ac:dyDescent="0.25">
      <c r="A69" s="13"/>
      <c r="B69" s="14"/>
      <c r="C69" s="13">
        <v>38</v>
      </c>
      <c r="D69" s="15">
        <f>Reference!B139</f>
        <v>0</v>
      </c>
      <c r="E69" s="16">
        <f>Reference!C139</f>
        <v>0</v>
      </c>
      <c r="F69" s="16">
        <f>Reference!D139</f>
        <v>0</v>
      </c>
      <c r="G69" s="16">
        <f>Reference!E139</f>
        <v>0</v>
      </c>
      <c r="H69" s="16">
        <f>Reference!F139</f>
        <v>0</v>
      </c>
      <c r="I69" s="16">
        <f>Reference!G139</f>
        <v>0</v>
      </c>
      <c r="J69" s="28">
        <f t="shared" si="8"/>
        <v>0</v>
      </c>
      <c r="L69" s="15">
        <f>Test!B139</f>
        <v>0</v>
      </c>
      <c r="M69" s="16">
        <f>Test!C139</f>
        <v>0</v>
      </c>
      <c r="N69" s="16">
        <f>Test!D139</f>
        <v>0</v>
      </c>
      <c r="O69" s="16">
        <f>Test!E139</f>
        <v>0</v>
      </c>
      <c r="P69" s="16">
        <f>Test!F139</f>
        <v>0</v>
      </c>
      <c r="Q69" s="16">
        <f>Test!G139</f>
        <v>0</v>
      </c>
      <c r="R69" s="28">
        <f t="shared" si="7"/>
        <v>0</v>
      </c>
      <c r="S69" s="15" t="e">
        <f t="shared" si="9"/>
        <v>#DIV/0!</v>
      </c>
      <c r="T69" s="16" t="e">
        <f t="shared" si="10"/>
        <v>#DIV/0!</v>
      </c>
      <c r="U69" s="36"/>
      <c r="V69" s="37"/>
      <c r="W69" s="38"/>
      <c r="X69" s="38"/>
      <c r="Y69" s="37"/>
      <c r="Z69" s="38"/>
      <c r="AA69" s="39"/>
    </row>
    <row r="70" spans="1:27" ht="12" thickBot="1" x14ac:dyDescent="0.3">
      <c r="A70" s="13"/>
      <c r="B70" s="17"/>
      <c r="C70" s="18">
        <v>45</v>
      </c>
      <c r="D70" s="19">
        <f>Reference!B140</f>
        <v>0</v>
      </c>
      <c r="E70" s="20">
        <f>Reference!C140</f>
        <v>0</v>
      </c>
      <c r="F70" s="20">
        <f>Reference!D140</f>
        <v>0</v>
      </c>
      <c r="G70" s="20">
        <f>Reference!E140</f>
        <v>0</v>
      </c>
      <c r="H70" s="20">
        <f>Reference!F140</f>
        <v>0</v>
      </c>
      <c r="I70" s="20">
        <f>Reference!G140</f>
        <v>0</v>
      </c>
      <c r="J70" s="29">
        <f t="shared" si="8"/>
        <v>0</v>
      </c>
      <c r="L70" s="19">
        <f>Test!B140</f>
        <v>0</v>
      </c>
      <c r="M70" s="20">
        <f>Test!C140</f>
        <v>0</v>
      </c>
      <c r="N70" s="20">
        <f>Test!D140</f>
        <v>0</v>
      </c>
      <c r="O70" s="20">
        <f>Test!E140</f>
        <v>0</v>
      </c>
      <c r="P70" s="20">
        <f>Test!F140</f>
        <v>0</v>
      </c>
      <c r="Q70" s="20">
        <f>Test!G140</f>
        <v>0</v>
      </c>
      <c r="R70" s="29">
        <f t="shared" si="7"/>
        <v>0</v>
      </c>
      <c r="S70" s="15" t="e">
        <f t="shared" si="9"/>
        <v>#DIV/0!</v>
      </c>
      <c r="T70" s="16" t="e">
        <f t="shared" si="10"/>
        <v>#DIV/0!</v>
      </c>
      <c r="U70" s="36"/>
      <c r="V70" s="40"/>
      <c r="W70" s="41"/>
      <c r="X70" s="41"/>
      <c r="Y70" s="40"/>
      <c r="Z70" s="41"/>
      <c r="AA70" s="42"/>
    </row>
    <row r="71" spans="1:27" x14ac:dyDescent="0.25">
      <c r="A71" s="13"/>
      <c r="B71" s="6" t="s">
        <v>61</v>
      </c>
      <c r="C71" s="10">
        <v>27</v>
      </c>
      <c r="D71" s="11">
        <f>Reference!B141</f>
        <v>0</v>
      </c>
      <c r="E71" s="12">
        <f>Reference!C141</f>
        <v>0</v>
      </c>
      <c r="F71" s="12">
        <f>Reference!D141</f>
        <v>0</v>
      </c>
      <c r="G71" s="12">
        <f>Reference!E141</f>
        <v>0</v>
      </c>
      <c r="H71" s="12">
        <f>Reference!F141</f>
        <v>0</v>
      </c>
      <c r="I71" s="12">
        <f>Reference!G141</f>
        <v>0</v>
      </c>
      <c r="J71" s="27">
        <f t="shared" si="8"/>
        <v>0</v>
      </c>
      <c r="L71" s="11">
        <f>Test!B141</f>
        <v>0</v>
      </c>
      <c r="M71" s="12">
        <f>Test!C141</f>
        <v>0</v>
      </c>
      <c r="N71" s="12">
        <f>Test!D141</f>
        <v>0</v>
      </c>
      <c r="O71" s="12">
        <f>Test!E141</f>
        <v>0</v>
      </c>
      <c r="P71" s="12">
        <f>Test!F141</f>
        <v>0</v>
      </c>
      <c r="Q71" s="12">
        <f>Test!G141</f>
        <v>0</v>
      </c>
      <c r="R71" s="27">
        <f t="shared" si="7"/>
        <v>0</v>
      </c>
      <c r="S71" s="15" t="e">
        <f t="shared" si="9"/>
        <v>#DIV/0!</v>
      </c>
      <c r="T71" s="16" t="e">
        <f t="shared" si="10"/>
        <v>#DIV/0!</v>
      </c>
      <c r="U71" s="36"/>
      <c r="V71" s="57" t="e">
        <f>bdrate($D71:$D74,E71:E74,$L71:$L74,M71:M74)</f>
        <v>#VALUE!</v>
      </c>
      <c r="W71" s="58" t="e">
        <f>bdrate($D71:$D74,F71:F74,$L71:$L74,N71:N74)</f>
        <v>#VALUE!</v>
      </c>
      <c r="X71" s="59" t="e">
        <f>bdrate($D71:$D74,G71:G74,$L71:$L74,O71:O74)</f>
        <v>#VALUE!</v>
      </c>
      <c r="Y71" s="33" t="e">
        <f>bdrateOld($D71:$D74,E71:E74,$L71:$L74,M71:M74)</f>
        <v>#VALUE!</v>
      </c>
      <c r="Z71" s="34" t="e">
        <f>bdrateOld($D71:$D74,F71:F74,$L71:$L74,N71:N74)</f>
        <v>#VALUE!</v>
      </c>
      <c r="AA71" s="35" t="e">
        <f>bdrateOld($D71:$D74,G71:G74,$L71:$L74,O71:O74)</f>
        <v>#VALUE!</v>
      </c>
    </row>
    <row r="72" spans="1:27" x14ac:dyDescent="0.25">
      <c r="A72" s="13"/>
      <c r="B72" s="14"/>
      <c r="C72" s="13">
        <v>32</v>
      </c>
      <c r="D72" s="15">
        <f>Reference!B142</f>
        <v>0</v>
      </c>
      <c r="E72" s="16">
        <f>Reference!C142</f>
        <v>0</v>
      </c>
      <c r="F72" s="16">
        <f>Reference!D142</f>
        <v>0</v>
      </c>
      <c r="G72" s="16">
        <f>Reference!E142</f>
        <v>0</v>
      </c>
      <c r="H72" s="16">
        <f>Reference!F142</f>
        <v>0</v>
      </c>
      <c r="I72" s="16">
        <f>Reference!G142</f>
        <v>0</v>
      </c>
      <c r="J72" s="28">
        <f t="shared" ref="J72:J74" si="11">H72/3600</f>
        <v>0</v>
      </c>
      <c r="L72" s="15">
        <f>Test!B142</f>
        <v>0</v>
      </c>
      <c r="M72" s="16">
        <f>Test!C142</f>
        <v>0</v>
      </c>
      <c r="N72" s="16">
        <f>Test!D142</f>
        <v>0</v>
      </c>
      <c r="O72" s="16">
        <f>Test!E142</f>
        <v>0</v>
      </c>
      <c r="P72" s="16">
        <f>Test!F142</f>
        <v>0</v>
      </c>
      <c r="Q72" s="16">
        <f>Test!G142</f>
        <v>0</v>
      </c>
      <c r="R72" s="28">
        <f t="shared" ref="R72:R74" si="12">P72/3600</f>
        <v>0</v>
      </c>
      <c r="S72" s="15" t="e">
        <f t="shared" si="9"/>
        <v>#DIV/0!</v>
      </c>
      <c r="T72" s="16" t="e">
        <f t="shared" si="10"/>
        <v>#DIV/0!</v>
      </c>
      <c r="U72" s="36"/>
      <c r="V72" s="60"/>
      <c r="W72" s="61"/>
      <c r="X72" s="62"/>
      <c r="Y72" s="37"/>
      <c r="Z72" s="38"/>
      <c r="AA72" s="39"/>
    </row>
    <row r="73" spans="1:27" x14ac:dyDescent="0.25">
      <c r="A73" s="13"/>
      <c r="B73" s="14"/>
      <c r="C73" s="13">
        <v>38</v>
      </c>
      <c r="D73" s="15">
        <f>Reference!B143</f>
        <v>0</v>
      </c>
      <c r="E73" s="16">
        <f>Reference!C143</f>
        <v>0</v>
      </c>
      <c r="F73" s="16">
        <f>Reference!D143</f>
        <v>0</v>
      </c>
      <c r="G73" s="16">
        <f>Reference!E143</f>
        <v>0</v>
      </c>
      <c r="H73" s="16">
        <f>Reference!F143</f>
        <v>0</v>
      </c>
      <c r="I73" s="16">
        <f>Reference!G143</f>
        <v>0</v>
      </c>
      <c r="J73" s="28">
        <f t="shared" si="11"/>
        <v>0</v>
      </c>
      <c r="L73" s="15">
        <f>Test!B143</f>
        <v>0</v>
      </c>
      <c r="M73" s="16">
        <f>Test!C143</f>
        <v>0</v>
      </c>
      <c r="N73" s="16">
        <f>Test!D143</f>
        <v>0</v>
      </c>
      <c r="O73" s="16">
        <f>Test!E143</f>
        <v>0</v>
      </c>
      <c r="P73" s="16">
        <f>Test!F143</f>
        <v>0</v>
      </c>
      <c r="Q73" s="16">
        <f>Test!G143</f>
        <v>0</v>
      </c>
      <c r="R73" s="28">
        <f t="shared" si="12"/>
        <v>0</v>
      </c>
      <c r="S73" s="15" t="e">
        <f t="shared" si="9"/>
        <v>#DIV/0!</v>
      </c>
      <c r="T73" s="16" t="e">
        <f t="shared" si="10"/>
        <v>#DIV/0!</v>
      </c>
      <c r="U73" s="36"/>
      <c r="V73" s="60"/>
      <c r="W73" s="61"/>
      <c r="X73" s="62"/>
      <c r="Y73" s="37"/>
      <c r="Z73" s="38"/>
      <c r="AA73" s="39"/>
    </row>
    <row r="74" spans="1:27" ht="12" thickBot="1" x14ac:dyDescent="0.3">
      <c r="A74" s="18"/>
      <c r="B74" s="17"/>
      <c r="C74" s="18">
        <v>45</v>
      </c>
      <c r="D74" s="19">
        <f>Reference!B144</f>
        <v>0</v>
      </c>
      <c r="E74" s="20">
        <f>Reference!C144</f>
        <v>0</v>
      </c>
      <c r="F74" s="20">
        <f>Reference!D144</f>
        <v>0</v>
      </c>
      <c r="G74" s="20">
        <f>Reference!E144</f>
        <v>0</v>
      </c>
      <c r="H74" s="20">
        <f>Reference!F144</f>
        <v>0</v>
      </c>
      <c r="I74" s="20">
        <f>Reference!G144</f>
        <v>0</v>
      </c>
      <c r="J74" s="29">
        <f t="shared" si="11"/>
        <v>0</v>
      </c>
      <c r="L74" s="19">
        <f>Test!B144</f>
        <v>0</v>
      </c>
      <c r="M74" s="20">
        <f>Test!C144</f>
        <v>0</v>
      </c>
      <c r="N74" s="20">
        <f>Test!D144</f>
        <v>0</v>
      </c>
      <c r="O74" s="20">
        <f>Test!E144</f>
        <v>0</v>
      </c>
      <c r="P74" s="20">
        <f>Test!F144</f>
        <v>0</v>
      </c>
      <c r="Q74" s="20">
        <f>Test!G144</f>
        <v>0</v>
      </c>
      <c r="R74" s="29">
        <f t="shared" si="12"/>
        <v>0</v>
      </c>
      <c r="S74" s="19" t="e">
        <f t="shared" si="9"/>
        <v>#DIV/0!</v>
      </c>
      <c r="T74" s="20" t="e">
        <f t="shared" si="10"/>
        <v>#DIV/0!</v>
      </c>
      <c r="U74" s="43"/>
      <c r="V74" s="63"/>
      <c r="W74" s="64"/>
      <c r="X74" s="65"/>
      <c r="Y74" s="40"/>
      <c r="Z74" s="41"/>
      <c r="AA74" s="42"/>
    </row>
    <row r="75" spans="1:27" ht="12" x14ac:dyDescent="0.25">
      <c r="B75" s="47" t="s">
        <v>7</v>
      </c>
      <c r="I75" s="50" t="e">
        <f>GEOMEAN(I3:I18)</f>
        <v>#NUM!</v>
      </c>
      <c r="J75" s="50" t="e">
        <f>GEOMEAN(J3:J18)</f>
        <v>#NUM!</v>
      </c>
      <c r="Q75" s="50">
        <f>GEOMEAN(Q3:Q18)</f>
        <v>49.785815003107125</v>
      </c>
      <c r="R75" s="50">
        <f>GEOMEAN(R3:R18)</f>
        <v>44.91628180247772</v>
      </c>
      <c r="S75" s="50" t="e">
        <f>GEOMEAN(S3:S18)</f>
        <v>#DIV/0!</v>
      </c>
      <c r="T75" s="50" t="e">
        <f>GEOMEAN(T3:T18)</f>
        <v>#DIV/0!</v>
      </c>
      <c r="V75" s="33" t="e">
        <f>AVERAGE(V3:V18)</f>
        <v>#VALUE!</v>
      </c>
      <c r="W75" s="34" t="e">
        <f t="shared" ref="W75:AA75" si="13">AVERAGE(W3:W18)</f>
        <v>#VALUE!</v>
      </c>
      <c r="X75" s="34" t="e">
        <f t="shared" si="13"/>
        <v>#VALUE!</v>
      </c>
      <c r="Y75" s="33" t="e">
        <f t="shared" si="13"/>
        <v>#VALUE!</v>
      </c>
      <c r="Z75" s="34" t="e">
        <f t="shared" si="13"/>
        <v>#VALUE!</v>
      </c>
      <c r="AA75" s="35" t="e">
        <f t="shared" si="13"/>
        <v>#VALUE!</v>
      </c>
    </row>
    <row r="76" spans="1:27" ht="12" x14ac:dyDescent="0.25">
      <c r="B76" s="47" t="s">
        <v>8</v>
      </c>
      <c r="I76" s="50" t="e">
        <f>GEOMEAN(I19:I34)</f>
        <v>#NUM!</v>
      </c>
      <c r="J76" s="50" t="e">
        <f>GEOMEAN(J19:J34)</f>
        <v>#NUM!</v>
      </c>
      <c r="Q76" s="50">
        <f>GEOMEAN(Q19:Q34)</f>
        <v>13.29043169573513</v>
      </c>
      <c r="R76" s="50">
        <f>GEOMEAN(R19:R34)</f>
        <v>9.6339501199552124</v>
      </c>
      <c r="S76" s="50" t="e">
        <f>GEOMEAN(S19:S34)</f>
        <v>#DIV/0!</v>
      </c>
      <c r="T76" s="50" t="e">
        <f>GEOMEAN(T19:T34)</f>
        <v>#DIV/0!</v>
      </c>
      <c r="V76" s="44" t="e">
        <f>AVERAGE(V19:V34)</f>
        <v>#VALUE!</v>
      </c>
      <c r="W76" s="45" t="e">
        <f t="shared" ref="W76:AA76" si="14">AVERAGE(W19:W34)</f>
        <v>#VALUE!</v>
      </c>
      <c r="X76" s="45" t="e">
        <f t="shared" si="14"/>
        <v>#VALUE!</v>
      </c>
      <c r="Y76" s="44" t="e">
        <f t="shared" si="14"/>
        <v>#VALUE!</v>
      </c>
      <c r="Z76" s="45" t="e">
        <f t="shared" si="14"/>
        <v>#VALUE!</v>
      </c>
      <c r="AA76" s="46" t="e">
        <f t="shared" si="14"/>
        <v>#VALUE!</v>
      </c>
    </row>
    <row r="77" spans="1:27" ht="12" x14ac:dyDescent="0.25">
      <c r="B77" s="47" t="s">
        <v>9</v>
      </c>
      <c r="I77" s="50" t="e">
        <f>GEOMEAN(I35:I50)</f>
        <v>#NUM!</v>
      </c>
      <c r="J77" s="50" t="e">
        <f>GEOMEAN(J35:J50)</f>
        <v>#NUM!</v>
      </c>
      <c r="Q77" s="50" t="e">
        <f>GEOMEAN(Q35:Q50)</f>
        <v>#NUM!</v>
      </c>
      <c r="R77" s="50">
        <f>GEOMEAN(R35:R50)</f>
        <v>2.6112911939721082</v>
      </c>
      <c r="S77" s="50" t="e">
        <f>GEOMEAN(S35:S50)</f>
        <v>#DIV/0!</v>
      </c>
      <c r="T77" s="50" t="e">
        <f>GEOMEAN(T35:T50)</f>
        <v>#DIV/0!</v>
      </c>
      <c r="V77" s="44" t="e">
        <f>AVERAGE(V35:V50)</f>
        <v>#VALUE!</v>
      </c>
      <c r="W77" s="45" t="e">
        <f t="shared" ref="W77:AA77" si="15">AVERAGE(W35:W50)</f>
        <v>#VALUE!</v>
      </c>
      <c r="X77" s="45" t="e">
        <f t="shared" si="15"/>
        <v>#VALUE!</v>
      </c>
      <c r="Y77" s="44" t="e">
        <f t="shared" si="15"/>
        <v>#VALUE!</v>
      </c>
      <c r="Z77" s="45" t="e">
        <f t="shared" si="15"/>
        <v>#VALUE!</v>
      </c>
      <c r="AA77" s="46" t="e">
        <f t="shared" si="15"/>
        <v>#VALUE!</v>
      </c>
    </row>
    <row r="78" spans="1:27" ht="12" x14ac:dyDescent="0.25">
      <c r="B78" s="47" t="s">
        <v>77</v>
      </c>
      <c r="I78" s="50" t="e">
        <f>GEOMEAN(I51:I58)</f>
        <v>#NUM!</v>
      </c>
      <c r="J78" s="50" t="e">
        <f>GEOMEAN(J51:J58)</f>
        <v>#NUM!</v>
      </c>
      <c r="Q78" s="50" t="e">
        <f>GEOMEAN(Q51:Q58)</f>
        <v>#NUM!</v>
      </c>
      <c r="R78" s="50" t="e">
        <f>GEOMEAN(R51:R58)</f>
        <v>#NUM!</v>
      </c>
      <c r="S78" s="50" t="e">
        <f>GEOMEAN(S51:S58)</f>
        <v>#DIV/0!</v>
      </c>
      <c r="T78" s="50" t="e">
        <f>GEOMEAN(T51:T58)</f>
        <v>#DIV/0!</v>
      </c>
      <c r="V78" s="44" t="e">
        <f>AVERAGE(V51:V58)</f>
        <v>#VALUE!</v>
      </c>
      <c r="W78" s="45" t="e">
        <f t="shared" ref="W78:AA78" si="16">AVERAGE(W51:W58)</f>
        <v>#VALUE!</v>
      </c>
      <c r="X78" s="45" t="e">
        <f t="shared" si="16"/>
        <v>#VALUE!</v>
      </c>
      <c r="Y78" s="44" t="e">
        <f t="shared" si="16"/>
        <v>#VALUE!</v>
      </c>
      <c r="Z78" s="45" t="e">
        <f t="shared" si="16"/>
        <v>#VALUE!</v>
      </c>
      <c r="AA78" s="46" t="e">
        <f t="shared" si="16"/>
        <v>#VALUE!</v>
      </c>
    </row>
    <row r="79" spans="1:27" ht="12" thickBot="1" x14ac:dyDescent="0.3">
      <c r="B79" s="3" t="s">
        <v>84</v>
      </c>
      <c r="I79" s="50" t="e">
        <f>GEOMEAN(I59:I74)</f>
        <v>#NUM!</v>
      </c>
      <c r="J79" s="50" t="e">
        <f>GEOMEAN(J59:J74)</f>
        <v>#NUM!</v>
      </c>
      <c r="Q79" s="50" t="e">
        <f>GEOMEAN(Q59:Q74)</f>
        <v>#NUM!</v>
      </c>
      <c r="R79" s="50" t="e">
        <f>GEOMEAN(R59:R74)</f>
        <v>#NUM!</v>
      </c>
      <c r="S79" s="50" t="e">
        <f t="shared" ref="S79:T79" si="17">GEOMEAN(S59:S74)</f>
        <v>#DIV/0!</v>
      </c>
      <c r="T79" s="50" t="e">
        <f t="shared" si="17"/>
        <v>#DIV/0!</v>
      </c>
      <c r="V79" s="44" t="e">
        <f>AVERAGE(V59:V74)</f>
        <v>#VALUE!</v>
      </c>
      <c r="W79" s="45" t="e">
        <f t="shared" ref="W79:AA79" si="18">AVERAGE(W59:W74)</f>
        <v>#VALUE!</v>
      </c>
      <c r="X79" s="45" t="e">
        <f t="shared" si="18"/>
        <v>#VALUE!</v>
      </c>
      <c r="Y79" s="44" t="e">
        <f t="shared" si="18"/>
        <v>#VALUE!</v>
      </c>
      <c r="Z79" s="45" t="e">
        <f t="shared" si="18"/>
        <v>#VALUE!</v>
      </c>
      <c r="AA79" s="46" t="e">
        <f t="shared" si="18"/>
        <v>#VALUE!</v>
      </c>
    </row>
    <row r="80" spans="1:27" ht="12" thickBot="1" x14ac:dyDescent="0.3">
      <c r="A80" s="48"/>
      <c r="B80" s="49" t="s">
        <v>85</v>
      </c>
      <c r="C80" s="49"/>
      <c r="D80" s="49"/>
      <c r="E80" s="49"/>
      <c r="F80" s="49"/>
      <c r="G80" s="49"/>
      <c r="H80" s="49"/>
      <c r="I80" s="51" t="e">
        <f>GEOMEAN(I3:I50)</f>
        <v>#NUM!</v>
      </c>
      <c r="J80" s="51" t="e">
        <f>GEOMEAN(J3:J50)</f>
        <v>#NUM!</v>
      </c>
      <c r="K80" s="49"/>
      <c r="L80" s="49"/>
      <c r="M80" s="49"/>
      <c r="N80" s="49"/>
      <c r="O80" s="49"/>
      <c r="P80" s="49"/>
      <c r="Q80" s="51" t="e">
        <f>GEOMEAN(Q3:Q50)</f>
        <v>#NUM!</v>
      </c>
      <c r="R80" s="51">
        <f>GEOMEAN(R3:R50)</f>
        <v>10.415684873250068</v>
      </c>
      <c r="S80" s="51" t="e">
        <f>GEOMEAN(S3:S50)</f>
        <v>#DIV/0!</v>
      </c>
      <c r="T80" s="51" t="e">
        <f>GEOMEAN(T3:T50)</f>
        <v>#DIV/0!</v>
      </c>
      <c r="U80" s="49"/>
      <c r="V80" s="53" t="e">
        <f>AVERAGE(V3:V50)</f>
        <v>#VALUE!</v>
      </c>
      <c r="W80" s="54" t="e">
        <f t="shared" ref="W80:AA80" si="19">AVERAGE(W3:W50)</f>
        <v>#VALUE!</v>
      </c>
      <c r="X80" s="55" t="e">
        <f t="shared" si="19"/>
        <v>#VALUE!</v>
      </c>
      <c r="Y80" s="54" t="e">
        <f t="shared" si="19"/>
        <v>#VALUE!</v>
      </c>
      <c r="Z80" s="54" t="e">
        <f t="shared" si="19"/>
        <v>#VALUE!</v>
      </c>
      <c r="AA80" s="55" t="e">
        <f t="shared" si="19"/>
        <v>#VALUE!</v>
      </c>
    </row>
    <row r="81" spans="2:20" x14ac:dyDescent="0.25">
      <c r="B81" s="3" t="s">
        <v>86</v>
      </c>
      <c r="I81" s="52" t="e">
        <f>GEOMEAN(I3:I58)</f>
        <v>#NUM!</v>
      </c>
      <c r="J81" s="52" t="e">
        <f>GEOMEAN(J3:J58)</f>
        <v>#NUM!</v>
      </c>
      <c r="Q81" s="52" t="e">
        <f>GEOMEAN(Q3:Q58)</f>
        <v>#NUM!</v>
      </c>
      <c r="R81" s="52" t="e">
        <f>GEOMEAN(R3:R58)</f>
        <v>#NUM!</v>
      </c>
      <c r="S81" s="52"/>
      <c r="T81" s="52"/>
    </row>
    <row r="82" spans="2:20" x14ac:dyDescent="0.25">
      <c r="B82" s="3" t="s">
        <v>87</v>
      </c>
      <c r="Q82" s="56" t="e">
        <f>Q81/I81</f>
        <v>#NUM!</v>
      </c>
      <c r="R82" s="56" t="e">
        <f>R81/J81</f>
        <v>#NUM!</v>
      </c>
      <c r="S82" s="56"/>
      <c r="T82" s="56"/>
    </row>
    <row r="83" spans="2:20" x14ac:dyDescent="0.25">
      <c r="B83" s="3" t="s">
        <v>88</v>
      </c>
      <c r="I83" s="52"/>
      <c r="J83" s="52"/>
      <c r="Q83" s="52"/>
      <c r="R83" s="52"/>
      <c r="S83" s="52"/>
      <c r="T83" s="52"/>
    </row>
  </sheetData>
  <mergeCells count="4">
    <mergeCell ref="D1:J1"/>
    <mergeCell ref="L1:R1"/>
    <mergeCell ref="V1:X1"/>
    <mergeCell ref="Y1:AA1"/>
  </mergeCells>
  <phoneticPr fontId="12" type="noConversion"/>
  <conditionalFormatting sqref="Y3">
    <cfRule type="cellIs" dxfId="539" priority="593" operator="greaterThan">
      <formula>0.03</formula>
    </cfRule>
    <cfRule type="cellIs" dxfId="538" priority="594" stopIfTrue="1" operator="lessThan">
      <formula>-0.03</formula>
    </cfRule>
  </conditionalFormatting>
  <conditionalFormatting sqref="Z3">
    <cfRule type="cellIs" dxfId="537" priority="591" operator="greaterThan">
      <formula>0.03</formula>
    </cfRule>
    <cfRule type="cellIs" dxfId="536" priority="592" stopIfTrue="1" operator="lessThan">
      <formula>-0.03</formula>
    </cfRule>
  </conditionalFormatting>
  <conditionalFormatting sqref="AA3">
    <cfRule type="cellIs" dxfId="535" priority="589" operator="greaterThan">
      <formula>0.03</formula>
    </cfRule>
    <cfRule type="cellIs" dxfId="534" priority="590" stopIfTrue="1" operator="lessThan">
      <formula>-0.03</formula>
    </cfRule>
  </conditionalFormatting>
  <conditionalFormatting sqref="Y6:Z6">
    <cfRule type="cellIs" dxfId="533" priority="569" operator="greaterThan">
      <formula>0.03</formula>
    </cfRule>
    <cfRule type="cellIs" dxfId="532" priority="570" stopIfTrue="1" operator="lessThan">
      <formula>-0.03</formula>
    </cfRule>
  </conditionalFormatting>
  <conditionalFormatting sqref="Y7">
    <cfRule type="cellIs" dxfId="531" priority="587" operator="greaterThan">
      <formula>0.03</formula>
    </cfRule>
    <cfRule type="cellIs" dxfId="530" priority="588" stopIfTrue="1" operator="lessThan">
      <formula>-0.03</formula>
    </cfRule>
  </conditionalFormatting>
  <conditionalFormatting sqref="Z7">
    <cfRule type="cellIs" dxfId="529" priority="585" operator="greaterThan">
      <formula>0.03</formula>
    </cfRule>
    <cfRule type="cellIs" dxfId="528" priority="586" stopIfTrue="1" operator="lessThan">
      <formula>-0.03</formula>
    </cfRule>
  </conditionalFormatting>
  <conditionalFormatting sqref="AA7">
    <cfRule type="cellIs" dxfId="527" priority="583" operator="greaterThan">
      <formula>0.03</formula>
    </cfRule>
    <cfRule type="cellIs" dxfId="526" priority="584" stopIfTrue="1" operator="lessThan">
      <formula>-0.03</formula>
    </cfRule>
  </conditionalFormatting>
  <conditionalFormatting sqref="Y10:Z10">
    <cfRule type="cellIs" dxfId="525" priority="567" operator="greaterThan">
      <formula>0.03</formula>
    </cfRule>
    <cfRule type="cellIs" dxfId="524" priority="568" stopIfTrue="1" operator="lessThan">
      <formula>-0.03</formula>
    </cfRule>
  </conditionalFormatting>
  <conditionalFormatting sqref="Y11">
    <cfRule type="cellIs" dxfId="523" priority="581" operator="greaterThan">
      <formula>0.03</formula>
    </cfRule>
    <cfRule type="cellIs" dxfId="522" priority="582" stopIfTrue="1" operator="lessThan">
      <formula>-0.03</formula>
    </cfRule>
  </conditionalFormatting>
  <conditionalFormatting sqref="Z11">
    <cfRule type="cellIs" dxfId="521" priority="579" operator="greaterThan">
      <formula>0.03</formula>
    </cfRule>
    <cfRule type="cellIs" dxfId="520" priority="580" stopIfTrue="1" operator="lessThan">
      <formula>-0.03</formula>
    </cfRule>
  </conditionalFormatting>
  <conditionalFormatting sqref="AA11">
    <cfRule type="cellIs" dxfId="519" priority="577" operator="greaterThan">
      <formula>0.03</formula>
    </cfRule>
    <cfRule type="cellIs" dxfId="518" priority="578" stopIfTrue="1" operator="lessThan">
      <formula>-0.03</formula>
    </cfRule>
  </conditionalFormatting>
  <conditionalFormatting sqref="Y14:Z14">
    <cfRule type="cellIs" dxfId="517" priority="565" operator="greaterThan">
      <formula>0.03</formula>
    </cfRule>
    <cfRule type="cellIs" dxfId="516" priority="566" stopIfTrue="1" operator="lessThan">
      <formula>-0.03</formula>
    </cfRule>
  </conditionalFormatting>
  <conditionalFormatting sqref="Y15">
    <cfRule type="cellIs" dxfId="515" priority="495" operator="greaterThan">
      <formula>0.03</formula>
    </cfRule>
    <cfRule type="cellIs" dxfId="514" priority="496" stopIfTrue="1" operator="lessThan">
      <formula>-0.03</formula>
    </cfRule>
  </conditionalFormatting>
  <conditionalFormatting sqref="Z15">
    <cfRule type="cellIs" dxfId="513" priority="493" operator="greaterThan">
      <formula>0.03</formula>
    </cfRule>
    <cfRule type="cellIs" dxfId="512" priority="494" stopIfTrue="1" operator="lessThan">
      <formula>-0.03</formula>
    </cfRule>
  </conditionalFormatting>
  <conditionalFormatting sqref="AA15">
    <cfRule type="cellIs" dxfId="511" priority="491" operator="greaterThan">
      <formula>0.03</formula>
    </cfRule>
    <cfRule type="cellIs" dxfId="510" priority="492" stopIfTrue="1" operator="lessThan">
      <formula>-0.03</formula>
    </cfRule>
  </conditionalFormatting>
  <conditionalFormatting sqref="Y18:Z18">
    <cfRule type="cellIs" dxfId="509" priority="471" operator="greaterThan">
      <formula>0.03</formula>
    </cfRule>
    <cfRule type="cellIs" dxfId="508" priority="472" stopIfTrue="1" operator="lessThan">
      <formula>-0.03</formula>
    </cfRule>
  </conditionalFormatting>
  <conditionalFormatting sqref="Y19">
    <cfRule type="cellIs" dxfId="507" priority="489" operator="greaterThan">
      <formula>0.03</formula>
    </cfRule>
    <cfRule type="cellIs" dxfId="506" priority="490" stopIfTrue="1" operator="lessThan">
      <formula>-0.03</formula>
    </cfRule>
  </conditionalFormatting>
  <conditionalFormatting sqref="Z19">
    <cfRule type="cellIs" dxfId="505" priority="487" operator="greaterThan">
      <formula>0.03</formula>
    </cfRule>
    <cfRule type="cellIs" dxfId="504" priority="488" stopIfTrue="1" operator="lessThan">
      <formula>-0.03</formula>
    </cfRule>
  </conditionalFormatting>
  <conditionalFormatting sqref="AA19">
    <cfRule type="cellIs" dxfId="503" priority="485" operator="greaterThan">
      <formula>0.03</formula>
    </cfRule>
    <cfRule type="cellIs" dxfId="502" priority="486" stopIfTrue="1" operator="lessThan">
      <formula>-0.03</formula>
    </cfRule>
  </conditionalFormatting>
  <conditionalFormatting sqref="Y22:Z22">
    <cfRule type="cellIs" dxfId="501" priority="469" operator="greaterThan">
      <formula>0.03</formula>
    </cfRule>
    <cfRule type="cellIs" dxfId="500" priority="470" stopIfTrue="1" operator="lessThan">
      <formula>-0.03</formula>
    </cfRule>
  </conditionalFormatting>
  <conditionalFormatting sqref="Y23">
    <cfRule type="cellIs" dxfId="499" priority="483" operator="greaterThan">
      <formula>0.03</formula>
    </cfRule>
    <cfRule type="cellIs" dxfId="498" priority="484" stopIfTrue="1" operator="lessThan">
      <formula>-0.03</formula>
    </cfRule>
  </conditionalFormatting>
  <conditionalFormatting sqref="Z23">
    <cfRule type="cellIs" dxfId="497" priority="481" operator="greaterThan">
      <formula>0.03</formula>
    </cfRule>
    <cfRule type="cellIs" dxfId="496" priority="482" stopIfTrue="1" operator="lessThan">
      <formula>-0.03</formula>
    </cfRule>
  </conditionalFormatting>
  <conditionalFormatting sqref="AA23">
    <cfRule type="cellIs" dxfId="495" priority="479" operator="greaterThan">
      <formula>0.03</formula>
    </cfRule>
    <cfRule type="cellIs" dxfId="494" priority="480" stopIfTrue="1" operator="lessThan">
      <formula>-0.03</formula>
    </cfRule>
  </conditionalFormatting>
  <conditionalFormatting sqref="Y26:Z26">
    <cfRule type="cellIs" dxfId="493" priority="467" operator="greaterThan">
      <formula>0.03</formula>
    </cfRule>
    <cfRule type="cellIs" dxfId="492" priority="468" stopIfTrue="1" operator="lessThan">
      <formula>-0.03</formula>
    </cfRule>
  </conditionalFormatting>
  <conditionalFormatting sqref="Y27">
    <cfRule type="cellIs" dxfId="491" priority="421" operator="greaterThan">
      <formula>0.03</formula>
    </cfRule>
    <cfRule type="cellIs" dxfId="490" priority="422" stopIfTrue="1" operator="lessThan">
      <formula>-0.03</formula>
    </cfRule>
  </conditionalFormatting>
  <conditionalFormatting sqref="Z27">
    <cfRule type="cellIs" dxfId="489" priority="419" operator="greaterThan">
      <formula>0.03</formula>
    </cfRule>
    <cfRule type="cellIs" dxfId="488" priority="420" stopIfTrue="1" operator="lessThan">
      <formula>-0.03</formula>
    </cfRule>
  </conditionalFormatting>
  <conditionalFormatting sqref="AA27">
    <cfRule type="cellIs" dxfId="487" priority="417" operator="greaterThan">
      <formula>0.03</formula>
    </cfRule>
    <cfRule type="cellIs" dxfId="486" priority="418" stopIfTrue="1" operator="lessThan">
      <formula>-0.03</formula>
    </cfRule>
  </conditionalFormatting>
  <conditionalFormatting sqref="Y30:Z30">
    <cfRule type="cellIs" dxfId="485" priority="415" operator="greaterThan">
      <formula>0.03</formula>
    </cfRule>
    <cfRule type="cellIs" dxfId="484" priority="416" stopIfTrue="1" operator="lessThan">
      <formula>-0.03</formula>
    </cfRule>
  </conditionalFormatting>
  <conditionalFormatting sqref="Y31">
    <cfRule type="cellIs" dxfId="483" priority="401" operator="greaterThan">
      <formula>0.03</formula>
    </cfRule>
    <cfRule type="cellIs" dxfId="482" priority="402" stopIfTrue="1" operator="lessThan">
      <formula>-0.03</formula>
    </cfRule>
  </conditionalFormatting>
  <conditionalFormatting sqref="Z31">
    <cfRule type="cellIs" dxfId="481" priority="399" operator="greaterThan">
      <formula>0.03</formula>
    </cfRule>
    <cfRule type="cellIs" dxfId="480" priority="400" stopIfTrue="1" operator="lessThan">
      <formula>-0.03</formula>
    </cfRule>
  </conditionalFormatting>
  <conditionalFormatting sqref="AA31">
    <cfRule type="cellIs" dxfId="479" priority="397" operator="greaterThan">
      <formula>0.03</formula>
    </cfRule>
    <cfRule type="cellIs" dxfId="478" priority="398" stopIfTrue="1" operator="lessThan">
      <formula>-0.03</formula>
    </cfRule>
  </conditionalFormatting>
  <conditionalFormatting sqref="Y34:Z34">
    <cfRule type="cellIs" dxfId="477" priority="389" operator="greaterThan">
      <formula>0.03</formula>
    </cfRule>
    <cfRule type="cellIs" dxfId="476" priority="390" stopIfTrue="1" operator="lessThan">
      <formula>-0.03</formula>
    </cfRule>
  </conditionalFormatting>
  <conditionalFormatting sqref="Y35">
    <cfRule type="cellIs" dxfId="475" priority="395" operator="greaterThan">
      <formula>0.03</formula>
    </cfRule>
    <cfRule type="cellIs" dxfId="474" priority="396" stopIfTrue="1" operator="lessThan">
      <formula>-0.03</formula>
    </cfRule>
  </conditionalFormatting>
  <conditionalFormatting sqref="Z35">
    <cfRule type="cellIs" dxfId="473" priority="393" operator="greaterThan">
      <formula>0.03</formula>
    </cfRule>
    <cfRule type="cellIs" dxfId="472" priority="394" stopIfTrue="1" operator="lessThan">
      <formula>-0.03</formula>
    </cfRule>
  </conditionalFormatting>
  <conditionalFormatting sqref="AA35">
    <cfRule type="cellIs" dxfId="471" priority="391" operator="greaterThan">
      <formula>0.03</formula>
    </cfRule>
    <cfRule type="cellIs" dxfId="470" priority="392" stopIfTrue="1" operator="lessThan">
      <formula>-0.03</formula>
    </cfRule>
  </conditionalFormatting>
  <conditionalFormatting sqref="Y38:Z38">
    <cfRule type="cellIs" dxfId="469" priority="387" operator="greaterThan">
      <formula>0.03</formula>
    </cfRule>
    <cfRule type="cellIs" dxfId="468" priority="388" stopIfTrue="1" operator="lessThan">
      <formula>-0.03</formula>
    </cfRule>
  </conditionalFormatting>
  <conditionalFormatting sqref="Y39">
    <cfRule type="cellIs" dxfId="467" priority="363" operator="greaterThan">
      <formula>0.03</formula>
    </cfRule>
    <cfRule type="cellIs" dxfId="466" priority="364" stopIfTrue="1" operator="lessThan">
      <formula>-0.03</formula>
    </cfRule>
  </conditionalFormatting>
  <conditionalFormatting sqref="Z39">
    <cfRule type="cellIs" dxfId="465" priority="361" operator="greaterThan">
      <formula>0.03</formula>
    </cfRule>
    <cfRule type="cellIs" dxfId="464" priority="362" stopIfTrue="1" operator="lessThan">
      <formula>-0.03</formula>
    </cfRule>
  </conditionalFormatting>
  <conditionalFormatting sqref="AA39">
    <cfRule type="cellIs" dxfId="463" priority="359" operator="greaterThan">
      <formula>0.03</formula>
    </cfRule>
    <cfRule type="cellIs" dxfId="462" priority="360" stopIfTrue="1" operator="lessThan">
      <formula>-0.03</formula>
    </cfRule>
  </conditionalFormatting>
  <conditionalFormatting sqref="Y42:Z42">
    <cfRule type="cellIs" dxfId="461" priority="351" operator="greaterThan">
      <formula>0.03</formula>
    </cfRule>
    <cfRule type="cellIs" dxfId="460" priority="352" stopIfTrue="1" operator="lessThan">
      <formula>-0.03</formula>
    </cfRule>
  </conditionalFormatting>
  <conditionalFormatting sqref="Y43">
    <cfRule type="cellIs" dxfId="459" priority="357" operator="greaterThan">
      <formula>0.03</formula>
    </cfRule>
    <cfRule type="cellIs" dxfId="458" priority="358" stopIfTrue="1" operator="lessThan">
      <formula>-0.03</formula>
    </cfRule>
  </conditionalFormatting>
  <conditionalFormatting sqref="Z43">
    <cfRule type="cellIs" dxfId="457" priority="355" operator="greaterThan">
      <formula>0.03</formula>
    </cfRule>
    <cfRule type="cellIs" dxfId="456" priority="356" stopIfTrue="1" operator="lessThan">
      <formula>-0.03</formula>
    </cfRule>
  </conditionalFormatting>
  <conditionalFormatting sqref="AA43">
    <cfRule type="cellIs" dxfId="455" priority="353" operator="greaterThan">
      <formula>0.03</formula>
    </cfRule>
    <cfRule type="cellIs" dxfId="454" priority="354" stopIfTrue="1" operator="lessThan">
      <formula>-0.03</formula>
    </cfRule>
  </conditionalFormatting>
  <conditionalFormatting sqref="Y46:Z46">
    <cfRule type="cellIs" dxfId="453" priority="349" operator="greaterThan">
      <formula>0.03</formula>
    </cfRule>
    <cfRule type="cellIs" dxfId="452" priority="350" stopIfTrue="1" operator="lessThan">
      <formula>-0.03</formula>
    </cfRule>
  </conditionalFormatting>
  <conditionalFormatting sqref="Y47">
    <cfRule type="cellIs" dxfId="451" priority="325" operator="greaterThan">
      <formula>0.03</formula>
    </cfRule>
    <cfRule type="cellIs" dxfId="450" priority="326" stopIfTrue="1" operator="lessThan">
      <formula>-0.03</formula>
    </cfRule>
  </conditionalFormatting>
  <conditionalFormatting sqref="Z47">
    <cfRule type="cellIs" dxfId="449" priority="323" operator="greaterThan">
      <formula>0.03</formula>
    </cfRule>
    <cfRule type="cellIs" dxfId="448" priority="324" stopIfTrue="1" operator="lessThan">
      <formula>-0.03</formula>
    </cfRule>
  </conditionalFormatting>
  <conditionalFormatting sqref="AA47">
    <cfRule type="cellIs" dxfId="447" priority="321" operator="greaterThan">
      <formula>0.03</formula>
    </cfRule>
    <cfRule type="cellIs" dxfId="446" priority="322" stopIfTrue="1" operator="lessThan">
      <formula>-0.03</formula>
    </cfRule>
  </conditionalFormatting>
  <conditionalFormatting sqref="Y50:Z50">
    <cfRule type="cellIs" dxfId="445" priority="301" operator="greaterThan">
      <formula>0.03</formula>
    </cfRule>
    <cfRule type="cellIs" dxfId="444" priority="302" stopIfTrue="1" operator="lessThan">
      <formula>-0.03</formula>
    </cfRule>
  </conditionalFormatting>
  <conditionalFormatting sqref="Y51">
    <cfRule type="cellIs" dxfId="443" priority="319" operator="greaterThan">
      <formula>0.03</formula>
    </cfRule>
    <cfRule type="cellIs" dxfId="442" priority="320" stopIfTrue="1" operator="lessThan">
      <formula>-0.03</formula>
    </cfRule>
  </conditionalFormatting>
  <conditionalFormatting sqref="Z51">
    <cfRule type="cellIs" dxfId="441" priority="317" operator="greaterThan">
      <formula>0.03</formula>
    </cfRule>
    <cfRule type="cellIs" dxfId="440" priority="318" stopIfTrue="1" operator="lessThan">
      <formula>-0.03</formula>
    </cfRule>
  </conditionalFormatting>
  <conditionalFormatting sqref="AA51">
    <cfRule type="cellIs" dxfId="439" priority="315" operator="greaterThan">
      <formula>0.03</formula>
    </cfRule>
    <cfRule type="cellIs" dxfId="438" priority="316" stopIfTrue="1" operator="lessThan">
      <formula>-0.03</formula>
    </cfRule>
  </conditionalFormatting>
  <conditionalFormatting sqref="Y54:Z54">
    <cfRule type="cellIs" dxfId="437" priority="299" operator="greaterThan">
      <formula>0.03</formula>
    </cfRule>
    <cfRule type="cellIs" dxfId="436" priority="300" stopIfTrue="1" operator="lessThan">
      <formula>-0.03</formula>
    </cfRule>
  </conditionalFormatting>
  <conditionalFormatting sqref="Y55">
    <cfRule type="cellIs" dxfId="435" priority="313" operator="greaterThan">
      <formula>0.03</formula>
    </cfRule>
    <cfRule type="cellIs" dxfId="434" priority="314" stopIfTrue="1" operator="lessThan">
      <formula>-0.03</formula>
    </cfRule>
  </conditionalFormatting>
  <conditionalFormatting sqref="Z55">
    <cfRule type="cellIs" dxfId="433" priority="311" operator="greaterThan">
      <formula>0.03</formula>
    </cfRule>
    <cfRule type="cellIs" dxfId="432" priority="312" stopIfTrue="1" operator="lessThan">
      <formula>-0.03</formula>
    </cfRule>
  </conditionalFormatting>
  <conditionalFormatting sqref="AA55">
    <cfRule type="cellIs" dxfId="431" priority="309" operator="greaterThan">
      <formula>0.03</formula>
    </cfRule>
    <cfRule type="cellIs" dxfId="430" priority="310" stopIfTrue="1" operator="lessThan">
      <formula>-0.03</formula>
    </cfRule>
  </conditionalFormatting>
  <conditionalFormatting sqref="Y58:Z58">
    <cfRule type="cellIs" dxfId="429" priority="297" operator="greaterThan">
      <formula>0.03</formula>
    </cfRule>
    <cfRule type="cellIs" dxfId="428" priority="298" stopIfTrue="1" operator="lessThan">
      <formula>-0.03</formula>
    </cfRule>
  </conditionalFormatting>
  <conditionalFormatting sqref="Y59">
    <cfRule type="cellIs" dxfId="427" priority="39" operator="greaterThan">
      <formula>0.03</formula>
    </cfRule>
    <cfRule type="cellIs" dxfId="426" priority="40" stopIfTrue="1" operator="lessThan">
      <formula>-0.03</formula>
    </cfRule>
  </conditionalFormatting>
  <conditionalFormatting sqref="Z59">
    <cfRule type="cellIs" dxfId="425" priority="37" operator="greaterThan">
      <formula>0.03</formula>
    </cfRule>
    <cfRule type="cellIs" dxfId="424" priority="38" stopIfTrue="1" operator="lessThan">
      <formula>-0.03</formula>
    </cfRule>
  </conditionalFormatting>
  <conditionalFormatting sqref="AA59">
    <cfRule type="cellIs" dxfId="423" priority="35" operator="greaterThan">
      <formula>0.03</formula>
    </cfRule>
    <cfRule type="cellIs" dxfId="422" priority="36" stopIfTrue="1" operator="lessThan">
      <formula>-0.03</formula>
    </cfRule>
  </conditionalFormatting>
  <conditionalFormatting sqref="Y62:Z62">
    <cfRule type="cellIs" dxfId="421" priority="33" operator="greaterThan">
      <formula>0.03</formula>
    </cfRule>
    <cfRule type="cellIs" dxfId="420" priority="34" stopIfTrue="1" operator="lessThan">
      <formula>-0.03</formula>
    </cfRule>
  </conditionalFormatting>
  <conditionalFormatting sqref="Y63">
    <cfRule type="cellIs" dxfId="419" priority="29" operator="greaterThan">
      <formula>0.03</formula>
    </cfRule>
    <cfRule type="cellIs" dxfId="418" priority="30" stopIfTrue="1" operator="lessThan">
      <formula>-0.03</formula>
    </cfRule>
  </conditionalFormatting>
  <conditionalFormatting sqref="Z63">
    <cfRule type="cellIs" dxfId="417" priority="27" operator="greaterThan">
      <formula>0.03</formula>
    </cfRule>
    <cfRule type="cellIs" dxfId="416" priority="28" stopIfTrue="1" operator="lessThan">
      <formula>-0.03</formula>
    </cfRule>
  </conditionalFormatting>
  <conditionalFormatting sqref="AA63">
    <cfRule type="cellIs" dxfId="415" priority="25" operator="greaterThan">
      <formula>0.03</formula>
    </cfRule>
    <cfRule type="cellIs" dxfId="414" priority="26" stopIfTrue="1" operator="lessThan">
      <formula>-0.03</formula>
    </cfRule>
  </conditionalFormatting>
  <conditionalFormatting sqref="Y66:Z66">
    <cfRule type="cellIs" dxfId="413" priority="17" operator="greaterThan">
      <formula>0.03</formula>
    </cfRule>
    <cfRule type="cellIs" dxfId="412" priority="18" stopIfTrue="1" operator="lessThan">
      <formula>-0.03</formula>
    </cfRule>
  </conditionalFormatting>
  <conditionalFormatting sqref="Y67">
    <cfRule type="cellIs" dxfId="411" priority="23" operator="greaterThan">
      <formula>0.03</formula>
    </cfRule>
    <cfRule type="cellIs" dxfId="410" priority="24" stopIfTrue="1" operator="lessThan">
      <formula>-0.03</formula>
    </cfRule>
  </conditionalFormatting>
  <conditionalFormatting sqref="Z67">
    <cfRule type="cellIs" dxfId="409" priority="21" operator="greaterThan">
      <formula>0.03</formula>
    </cfRule>
    <cfRule type="cellIs" dxfId="408" priority="22" stopIfTrue="1" operator="lessThan">
      <formula>-0.03</formula>
    </cfRule>
  </conditionalFormatting>
  <conditionalFormatting sqref="AA67">
    <cfRule type="cellIs" dxfId="407" priority="19" operator="greaterThan">
      <formula>0.03</formula>
    </cfRule>
    <cfRule type="cellIs" dxfId="406" priority="20" stopIfTrue="1" operator="lessThan">
      <formula>-0.03</formula>
    </cfRule>
  </conditionalFormatting>
  <conditionalFormatting sqref="Y70:Z70">
    <cfRule type="cellIs" dxfId="405" priority="15" operator="greaterThan">
      <formula>0.03</formula>
    </cfRule>
    <cfRule type="cellIs" dxfId="404" priority="16" stopIfTrue="1" operator="lessThan">
      <formula>-0.03</formula>
    </cfRule>
  </conditionalFormatting>
  <conditionalFormatting sqref="Y71">
    <cfRule type="cellIs" dxfId="403" priority="11" operator="greaterThan">
      <formula>0.03</formula>
    </cfRule>
    <cfRule type="cellIs" dxfId="402" priority="12" stopIfTrue="1" operator="lessThan">
      <formula>-0.03</formula>
    </cfRule>
  </conditionalFormatting>
  <conditionalFormatting sqref="Z71">
    <cfRule type="cellIs" dxfId="401" priority="9" operator="greaterThan">
      <formula>0.03</formula>
    </cfRule>
    <cfRule type="cellIs" dxfId="400" priority="10" stopIfTrue="1" operator="lessThan">
      <formula>-0.03</formula>
    </cfRule>
  </conditionalFormatting>
  <conditionalFormatting sqref="AA71">
    <cfRule type="cellIs" dxfId="399" priority="7" operator="greaterThan">
      <formula>0.03</formula>
    </cfRule>
    <cfRule type="cellIs" dxfId="398" priority="8" stopIfTrue="1" operator="lessThan">
      <formula>-0.03</formula>
    </cfRule>
  </conditionalFormatting>
  <conditionalFormatting sqref="Y74:Z74">
    <cfRule type="cellIs" dxfId="397" priority="5" operator="greaterThan">
      <formula>0.03</formula>
    </cfRule>
    <cfRule type="cellIs" dxfId="396" priority="6" stopIfTrue="1" operator="lessThan">
      <formula>-0.03</formula>
    </cfRule>
  </conditionalFormatting>
  <conditionalFormatting sqref="V79:X79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Y79:AA79">
    <cfRule type="cellIs" dxfId="393" priority="1" operator="greaterThan">
      <formula>0.03</formula>
    </cfRule>
    <cfRule type="cellIs" dxfId="392" priority="2" stopIfTrue="1" operator="lessThan">
      <formula>-0.03</formula>
    </cfRule>
  </conditionalFormatting>
  <conditionalFormatting sqref="V80:AA80">
    <cfRule type="cellIs" dxfId="391" priority="43" operator="greaterThan">
      <formula>0.03</formula>
    </cfRule>
    <cfRule type="cellIs" dxfId="390" priority="44" stopIfTrue="1" operator="lessThan">
      <formula>-0.03</formula>
    </cfRule>
  </conditionalFormatting>
  <conditionalFormatting sqref="V3:X14">
    <cfRule type="cellIs" dxfId="389" priority="595" operator="greaterThan">
      <formula>0.03</formula>
    </cfRule>
    <cfRule type="cellIs" dxfId="388" priority="596" stopIfTrue="1" operator="lessThan">
      <formula>-0.03</formula>
    </cfRule>
  </conditionalFormatting>
  <conditionalFormatting sqref="V15:X26">
    <cfRule type="cellIs" dxfId="387" priority="497" operator="greaterThan">
      <formula>0.03</formula>
    </cfRule>
    <cfRule type="cellIs" dxfId="386" priority="498" stopIfTrue="1" operator="lessThan">
      <formula>-0.03</formula>
    </cfRule>
  </conditionalFormatting>
  <conditionalFormatting sqref="V27:X30">
    <cfRule type="cellIs" dxfId="385" priority="423" operator="greaterThan">
      <formula>0.03</formula>
    </cfRule>
    <cfRule type="cellIs" dxfId="384" priority="424" stopIfTrue="1" operator="lessThan">
      <formula>-0.03</formula>
    </cfRule>
  </conditionalFormatting>
  <conditionalFormatting sqref="V31:X38">
    <cfRule type="cellIs" dxfId="383" priority="403" operator="greaterThan">
      <formula>0.03</formula>
    </cfRule>
    <cfRule type="cellIs" dxfId="382" priority="404" stopIfTrue="1" operator="lessThan">
      <formula>-0.03</formula>
    </cfRule>
  </conditionalFormatting>
  <conditionalFormatting sqref="V39:X46">
    <cfRule type="cellIs" dxfId="381" priority="365" operator="greaterThan">
      <formula>0.03</formula>
    </cfRule>
    <cfRule type="cellIs" dxfId="380" priority="366" stopIfTrue="1" operator="lessThan">
      <formula>-0.03</formula>
    </cfRule>
  </conditionalFormatting>
  <conditionalFormatting sqref="V47:X58">
    <cfRule type="cellIs" dxfId="379" priority="327" operator="greaterThan">
      <formula>0.03</formula>
    </cfRule>
    <cfRule type="cellIs" dxfId="378" priority="328" stopIfTrue="1" operator="lessThan">
      <formula>-0.03</formula>
    </cfRule>
  </conditionalFormatting>
  <conditionalFormatting sqref="V59:X62">
    <cfRule type="cellIs" dxfId="377" priority="41" operator="greaterThan">
      <formula>0.03</formula>
    </cfRule>
    <cfRule type="cellIs" dxfId="376" priority="42" stopIfTrue="1" operator="lessThan">
      <formula>-0.03</formula>
    </cfRule>
  </conditionalFormatting>
  <conditionalFormatting sqref="V63:X70">
    <cfRule type="cellIs" dxfId="375" priority="31" operator="greaterThan">
      <formula>0.03</formula>
    </cfRule>
    <cfRule type="cellIs" dxfId="374" priority="32" stopIfTrue="1" operator="lessThan">
      <formula>-0.03</formula>
    </cfRule>
  </conditionalFormatting>
  <conditionalFormatting sqref="V71:X74">
    <cfRule type="cellIs" dxfId="373" priority="13" operator="greaterThan">
      <formula>0.03</formula>
    </cfRule>
    <cfRule type="cellIs" dxfId="372" priority="14" stopIfTrue="1" operator="lessThan">
      <formula>-0.03</formula>
    </cfRule>
  </conditionalFormatting>
  <conditionalFormatting sqref="V75:X78">
    <cfRule type="cellIs" dxfId="371" priority="49" operator="greaterThan">
      <formula>0.03</formula>
    </cfRule>
    <cfRule type="cellIs" dxfId="370" priority="50" stopIfTrue="1" operator="lessThan">
      <formula>-0.03</formula>
    </cfRule>
  </conditionalFormatting>
  <conditionalFormatting sqref="Y75:AA78">
    <cfRule type="cellIs" dxfId="369" priority="47" operator="greaterThan">
      <formula>0.03</formula>
    </cfRule>
    <cfRule type="cellIs" dxfId="368" priority="48" stopIfTrue="1" operator="lessThan">
      <formula>-0.03</formula>
    </cfRule>
  </conditionalFormatting>
  <pageMargins left="0.75" right="0.75" top="1" bottom="1" header="0.5" footer="0.5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topLeftCell="A15" zoomScale="70" zoomScaleNormal="70" workbookViewId="0">
      <selection activeCell="V72" sqref="V72"/>
    </sheetView>
  </sheetViews>
  <sheetFormatPr defaultColWidth="10.83203125" defaultRowHeight="11.5" x14ac:dyDescent="0.25"/>
  <cols>
    <col min="1" max="1" width="8.33203125" style="3" customWidth="1"/>
    <col min="2" max="2" width="14.83203125" style="3" customWidth="1"/>
    <col min="3" max="3" width="7.83203125" style="3" customWidth="1"/>
    <col min="4" max="4" width="9.83203125" style="3" customWidth="1"/>
    <col min="5" max="7" width="6.83203125" style="3" customWidth="1"/>
    <col min="8" max="10" width="8.83203125" style="3" customWidth="1"/>
    <col min="11" max="11" width="2.83203125" style="3" customWidth="1"/>
    <col min="12" max="12" width="9.83203125" style="3" customWidth="1"/>
    <col min="13" max="15" width="6.83203125" style="3" customWidth="1"/>
    <col min="16" max="18" width="8.83203125" style="3" customWidth="1"/>
    <col min="19" max="19" width="8.33203125" style="3" customWidth="1"/>
    <col min="20" max="20" width="8.5" style="3" customWidth="1"/>
    <col min="21" max="21" width="7.08203125" style="3" customWidth="1"/>
    <col min="22" max="27" width="8.83203125" style="3" customWidth="1"/>
    <col min="28" max="16384" width="10.83203125" style="3"/>
  </cols>
  <sheetData>
    <row r="1" spans="1:27" ht="12" thickBot="1" x14ac:dyDescent="0.3">
      <c r="D1" s="212" t="s">
        <v>62</v>
      </c>
      <c r="E1" s="213"/>
      <c r="F1" s="213"/>
      <c r="G1" s="213"/>
      <c r="H1" s="213"/>
      <c r="I1" s="213"/>
      <c r="J1" s="214"/>
      <c r="L1" s="212" t="s">
        <v>63</v>
      </c>
      <c r="M1" s="213"/>
      <c r="N1" s="213"/>
      <c r="O1" s="213"/>
      <c r="P1" s="213"/>
      <c r="Q1" s="213"/>
      <c r="R1" s="214"/>
      <c r="S1" s="30"/>
      <c r="T1" s="30"/>
      <c r="U1" s="26"/>
      <c r="V1" s="212" t="s">
        <v>64</v>
      </c>
      <c r="W1" s="213"/>
      <c r="X1" s="214"/>
      <c r="Y1" s="212" t="s">
        <v>65</v>
      </c>
      <c r="Z1" s="213"/>
      <c r="AA1" s="214"/>
    </row>
    <row r="2" spans="1:27" ht="12" thickBot="1" x14ac:dyDescent="0.3">
      <c r="A2" s="4"/>
      <c r="B2" s="5"/>
      <c r="C2" s="6" t="s">
        <v>66</v>
      </c>
      <c r="D2" s="7" t="s">
        <v>34</v>
      </c>
      <c r="E2" s="8" t="s">
        <v>35</v>
      </c>
      <c r="F2" s="8" t="s">
        <v>36</v>
      </c>
      <c r="G2" s="8" t="s">
        <v>37</v>
      </c>
      <c r="H2" s="8" t="s">
        <v>67</v>
      </c>
      <c r="I2" s="8" t="s">
        <v>68</v>
      </c>
      <c r="J2" s="25" t="s">
        <v>69</v>
      </c>
      <c r="K2" s="26"/>
      <c r="L2" s="7" t="s">
        <v>34</v>
      </c>
      <c r="M2" s="8" t="s">
        <v>35</v>
      </c>
      <c r="N2" s="8" t="s">
        <v>36</v>
      </c>
      <c r="O2" s="8" t="s">
        <v>37</v>
      </c>
      <c r="P2" s="8" t="s">
        <v>67</v>
      </c>
      <c r="Q2" s="8" t="s">
        <v>68</v>
      </c>
      <c r="R2" s="25" t="s">
        <v>69</v>
      </c>
      <c r="S2" s="31" t="s">
        <v>89</v>
      </c>
      <c r="T2" s="31" t="s">
        <v>90</v>
      </c>
      <c r="U2" s="31"/>
      <c r="V2" s="7" t="s">
        <v>2</v>
      </c>
      <c r="W2" s="8" t="s">
        <v>3</v>
      </c>
      <c r="X2" s="25" t="s">
        <v>4</v>
      </c>
      <c r="Y2" s="7" t="s">
        <v>2</v>
      </c>
      <c r="Z2" s="8" t="s">
        <v>3</v>
      </c>
      <c r="AA2" s="25" t="s">
        <v>4</v>
      </c>
    </row>
    <row r="3" spans="1:27" ht="12" x14ac:dyDescent="0.25">
      <c r="A3" s="9" t="s">
        <v>7</v>
      </c>
      <c r="B3" s="6" t="s">
        <v>39</v>
      </c>
      <c r="C3" s="10">
        <v>43</v>
      </c>
      <c r="D3" s="11">
        <f>Reference!B145</f>
        <v>0</v>
      </c>
      <c r="E3" s="12">
        <f>Reference!C145</f>
        <v>0</v>
      </c>
      <c r="F3" s="12">
        <f>Reference!D145</f>
        <v>0</v>
      </c>
      <c r="G3" s="12">
        <f>Reference!E145</f>
        <v>0</v>
      </c>
      <c r="H3" s="12">
        <f>Reference!F145</f>
        <v>0</v>
      </c>
      <c r="I3" s="12">
        <f>Reference!G145</f>
        <v>0</v>
      </c>
      <c r="J3" s="27">
        <f>H3/3600</f>
        <v>0</v>
      </c>
      <c r="L3" s="11">
        <f>Test!B145</f>
        <v>0</v>
      </c>
      <c r="M3" s="12">
        <f>Test!C145</f>
        <v>0</v>
      </c>
      <c r="N3" s="12">
        <f>Test!D145</f>
        <v>0</v>
      </c>
      <c r="O3" s="12">
        <f>Test!E145</f>
        <v>0</v>
      </c>
      <c r="P3" s="12">
        <f>Test!F145</f>
        <v>0</v>
      </c>
      <c r="Q3" s="12">
        <f>Test!G145</f>
        <v>0</v>
      </c>
      <c r="R3" s="27">
        <f>P3/3600</f>
        <v>0</v>
      </c>
      <c r="S3" s="11" t="e">
        <f t="shared" ref="S3:T3" si="0">P3/H3</f>
        <v>#DIV/0!</v>
      </c>
      <c r="T3" s="12" t="e">
        <f t="shared" si="0"/>
        <v>#DIV/0!</v>
      </c>
      <c r="U3" s="32"/>
      <c r="V3" s="33" t="e">
        <f>bdrate($D3:$D6,E3:E6,$L3:$L6,M3:M6)</f>
        <v>#VALUE!</v>
      </c>
      <c r="W3" s="34" t="e">
        <f>bdrate($D3:$D6,F3:F6,$L3:$L6,N3:N6)</f>
        <v>#VALUE!</v>
      </c>
      <c r="X3" s="35" t="e">
        <f>bdrate($D3:$D6,G3:G6,$L3:$L6,O3:O6)</f>
        <v>#VALUE!</v>
      </c>
      <c r="Y3" s="33" t="e">
        <f>bdrateOld($D3:$D6,E3:E6,$L3:$L6,M3:M6)</f>
        <v>#VALUE!</v>
      </c>
      <c r="Z3" s="34" t="e">
        <f>bdrateOld($D3:$D6,F3:F6,$L3:$L6,N3:N6)</f>
        <v>#VALUE!</v>
      </c>
      <c r="AA3" s="35" t="e">
        <f>bdrateOld($D3:$D6,G3:G6,$L3:$L6,O3:O6)</f>
        <v>#VALUE!</v>
      </c>
    </row>
    <row r="4" spans="1:27" x14ac:dyDescent="0.25">
      <c r="A4" s="13" t="s">
        <v>72</v>
      </c>
      <c r="B4" s="14"/>
      <c r="C4" s="13">
        <v>48</v>
      </c>
      <c r="D4" s="15">
        <f>Reference!B146</f>
        <v>0</v>
      </c>
      <c r="E4" s="16">
        <f>Reference!C146</f>
        <v>0</v>
      </c>
      <c r="F4" s="16">
        <f>Reference!D146</f>
        <v>0</v>
      </c>
      <c r="G4" s="16">
        <f>Reference!E146</f>
        <v>0</v>
      </c>
      <c r="H4" s="16">
        <f>Reference!F146</f>
        <v>0</v>
      </c>
      <c r="I4" s="16">
        <f>Reference!G146</f>
        <v>0</v>
      </c>
      <c r="J4" s="28">
        <f t="shared" ref="J4:J15" si="1">H4/3600</f>
        <v>0</v>
      </c>
      <c r="L4" s="15">
        <f>Test!B146</f>
        <v>0</v>
      </c>
      <c r="M4" s="16">
        <f>Test!C146</f>
        <v>0</v>
      </c>
      <c r="N4" s="16">
        <f>Test!D146</f>
        <v>0</v>
      </c>
      <c r="O4" s="16">
        <f>Test!E146</f>
        <v>0</v>
      </c>
      <c r="P4" s="16">
        <f>Test!F146</f>
        <v>0</v>
      </c>
      <c r="Q4" s="16">
        <f>Test!G146</f>
        <v>0</v>
      </c>
      <c r="R4" s="28">
        <f t="shared" ref="R4:R15" si="2">P4/3600</f>
        <v>0</v>
      </c>
      <c r="S4" s="15" t="e">
        <f t="shared" ref="S4:S26" si="3">P4/H4</f>
        <v>#DIV/0!</v>
      </c>
      <c r="T4" s="16" t="e">
        <f t="shared" ref="T4:T26" si="4">Q4/I4</f>
        <v>#DIV/0!</v>
      </c>
      <c r="U4" s="36"/>
      <c r="V4" s="37"/>
      <c r="W4" s="38"/>
      <c r="X4" s="39"/>
      <c r="Y4" s="37"/>
      <c r="Z4" s="38"/>
      <c r="AA4" s="39"/>
    </row>
    <row r="5" spans="1:27" x14ac:dyDescent="0.25">
      <c r="A5" s="13"/>
      <c r="B5" s="14"/>
      <c r="C5" s="13">
        <v>54</v>
      </c>
      <c r="D5" s="15">
        <f>Reference!B147</f>
        <v>0</v>
      </c>
      <c r="E5" s="16">
        <f>Reference!C147</f>
        <v>0</v>
      </c>
      <c r="F5" s="16">
        <f>Reference!D147</f>
        <v>0</v>
      </c>
      <c r="G5" s="16">
        <f>Reference!E147</f>
        <v>0</v>
      </c>
      <c r="H5" s="16">
        <f>Reference!F147</f>
        <v>0</v>
      </c>
      <c r="I5" s="16">
        <f>Reference!G147</f>
        <v>0</v>
      </c>
      <c r="J5" s="28">
        <f t="shared" si="1"/>
        <v>0</v>
      </c>
      <c r="L5" s="15">
        <f>Test!B147</f>
        <v>0</v>
      </c>
      <c r="M5" s="16">
        <f>Test!C147</f>
        <v>0</v>
      </c>
      <c r="N5" s="16">
        <f>Test!D147</f>
        <v>0</v>
      </c>
      <c r="O5" s="16">
        <f>Test!E147</f>
        <v>0</v>
      </c>
      <c r="P5" s="16">
        <f>Test!F147</f>
        <v>0</v>
      </c>
      <c r="Q5" s="16">
        <f>Test!G147</f>
        <v>0</v>
      </c>
      <c r="R5" s="28">
        <f t="shared" si="2"/>
        <v>0</v>
      </c>
      <c r="S5" s="15" t="e">
        <f t="shared" si="3"/>
        <v>#DIV/0!</v>
      </c>
      <c r="T5" s="16" t="e">
        <f t="shared" si="4"/>
        <v>#DIV/0!</v>
      </c>
      <c r="U5" s="36"/>
      <c r="V5" s="37"/>
      <c r="W5" s="38"/>
      <c r="X5" s="39"/>
      <c r="Y5" s="37"/>
      <c r="Z5" s="38"/>
      <c r="AA5" s="39"/>
    </row>
    <row r="6" spans="1:27" ht="12" thickBot="1" x14ac:dyDescent="0.3">
      <c r="A6" s="13"/>
      <c r="B6" s="17"/>
      <c r="C6" s="18">
        <v>61</v>
      </c>
      <c r="D6" s="19">
        <f>Reference!B148</f>
        <v>0</v>
      </c>
      <c r="E6" s="20">
        <f>Reference!C148</f>
        <v>0</v>
      </c>
      <c r="F6" s="20">
        <f>Reference!D148</f>
        <v>0</v>
      </c>
      <c r="G6" s="20">
        <f>Reference!E148</f>
        <v>0</v>
      </c>
      <c r="H6" s="20">
        <f>Reference!F148</f>
        <v>0</v>
      </c>
      <c r="I6" s="20">
        <f>Reference!G148</f>
        <v>0</v>
      </c>
      <c r="J6" s="29">
        <f t="shared" si="1"/>
        <v>0</v>
      </c>
      <c r="L6" s="19">
        <f>Test!B148</f>
        <v>0</v>
      </c>
      <c r="M6" s="20">
        <f>Test!C148</f>
        <v>0</v>
      </c>
      <c r="N6" s="20">
        <f>Test!D148</f>
        <v>0</v>
      </c>
      <c r="O6" s="20">
        <f>Test!E148</f>
        <v>0</v>
      </c>
      <c r="P6" s="20">
        <f>Test!F148</f>
        <v>0</v>
      </c>
      <c r="Q6" s="20">
        <f>Test!G148</f>
        <v>0</v>
      </c>
      <c r="R6" s="29">
        <f t="shared" si="2"/>
        <v>0</v>
      </c>
      <c r="S6" s="15" t="e">
        <f t="shared" si="3"/>
        <v>#DIV/0!</v>
      </c>
      <c r="T6" s="16" t="e">
        <f t="shared" si="4"/>
        <v>#DIV/0!</v>
      </c>
      <c r="U6" s="36"/>
      <c r="V6" s="40"/>
      <c r="W6" s="41"/>
      <c r="X6" s="42"/>
      <c r="Y6" s="40"/>
      <c r="Z6" s="41"/>
      <c r="AA6" s="42"/>
    </row>
    <row r="7" spans="1:27" x14ac:dyDescent="0.25">
      <c r="A7" s="13"/>
      <c r="B7" s="6" t="s">
        <v>40</v>
      </c>
      <c r="C7" s="10">
        <v>43</v>
      </c>
      <c r="D7" s="11">
        <f>Reference!B149</f>
        <v>0</v>
      </c>
      <c r="E7" s="12">
        <f>Reference!C149</f>
        <v>0</v>
      </c>
      <c r="F7" s="12">
        <f>Reference!D149</f>
        <v>0</v>
      </c>
      <c r="G7" s="12">
        <f>Reference!E149</f>
        <v>0</v>
      </c>
      <c r="H7" s="12">
        <f>Reference!F149</f>
        <v>0</v>
      </c>
      <c r="I7" s="12">
        <f>Reference!G149</f>
        <v>0</v>
      </c>
      <c r="J7" s="27">
        <f t="shared" si="1"/>
        <v>0</v>
      </c>
      <c r="L7" s="11">
        <f>Test!B149</f>
        <v>0</v>
      </c>
      <c r="M7" s="12">
        <f>Test!C149</f>
        <v>0</v>
      </c>
      <c r="N7" s="12">
        <f>Test!D149</f>
        <v>0</v>
      </c>
      <c r="O7" s="12">
        <f>Test!E149</f>
        <v>0</v>
      </c>
      <c r="P7" s="12">
        <f>Test!F149</f>
        <v>0</v>
      </c>
      <c r="Q7" s="12">
        <f>Test!G149</f>
        <v>0</v>
      </c>
      <c r="R7" s="27">
        <f t="shared" si="2"/>
        <v>0</v>
      </c>
      <c r="S7" s="15" t="e">
        <f t="shared" si="3"/>
        <v>#DIV/0!</v>
      </c>
      <c r="T7" s="16" t="e">
        <f t="shared" si="4"/>
        <v>#DIV/0!</v>
      </c>
      <c r="U7" s="36"/>
      <c r="V7" s="33" t="e">
        <f>bdrate($D7:$D10,E7:E10,$L7:$L10,M7:M10)</f>
        <v>#VALUE!</v>
      </c>
      <c r="W7" s="34" t="e">
        <f>bdrate($D7:$D10,F7:F10,$L7:$L10,N7:N10)</f>
        <v>#VALUE!</v>
      </c>
      <c r="X7" s="35" t="e">
        <f>bdrate($D7:$D10,G7:G10,$L7:$L10,O7:O10)</f>
        <v>#VALUE!</v>
      </c>
      <c r="Y7" s="33" t="e">
        <f>bdrateOld($D7:$D10,E7:E10,$L7:$L10,M7:M10)</f>
        <v>#VALUE!</v>
      </c>
      <c r="Z7" s="34" t="e">
        <f>bdrateOld($D7:$D10,F7:F10,$L7:$L10,N7:N10)</f>
        <v>#VALUE!</v>
      </c>
      <c r="AA7" s="35" t="e">
        <f>bdrateOld($D7:$D10,G7:G10,$L7:$L10,O7:O10)</f>
        <v>#VALUE!</v>
      </c>
    </row>
    <row r="8" spans="1:27" x14ac:dyDescent="0.25">
      <c r="A8" s="13"/>
      <c r="B8" s="14"/>
      <c r="C8" s="13">
        <v>48</v>
      </c>
      <c r="D8" s="15">
        <f>Reference!B150</f>
        <v>0</v>
      </c>
      <c r="E8" s="16">
        <f>Reference!C150</f>
        <v>0</v>
      </c>
      <c r="F8" s="16">
        <f>Reference!D150</f>
        <v>0</v>
      </c>
      <c r="G8" s="16">
        <f>Reference!E150</f>
        <v>0</v>
      </c>
      <c r="H8" s="16">
        <f>Reference!F150</f>
        <v>0</v>
      </c>
      <c r="I8" s="16">
        <f>Reference!G150</f>
        <v>0</v>
      </c>
      <c r="J8" s="28">
        <f t="shared" si="1"/>
        <v>0</v>
      </c>
      <c r="L8" s="15">
        <f>Test!B150</f>
        <v>0</v>
      </c>
      <c r="M8" s="16">
        <f>Test!C150</f>
        <v>0</v>
      </c>
      <c r="N8" s="16">
        <f>Test!D150</f>
        <v>0</v>
      </c>
      <c r="O8" s="16">
        <f>Test!E150</f>
        <v>0</v>
      </c>
      <c r="P8" s="16">
        <f>Test!F150</f>
        <v>0</v>
      </c>
      <c r="Q8" s="16">
        <f>Test!G150</f>
        <v>0</v>
      </c>
      <c r="R8" s="28">
        <f t="shared" si="2"/>
        <v>0</v>
      </c>
      <c r="S8" s="15" t="e">
        <f t="shared" si="3"/>
        <v>#DIV/0!</v>
      </c>
      <c r="T8" s="16" t="e">
        <f t="shared" si="4"/>
        <v>#DIV/0!</v>
      </c>
      <c r="U8" s="36"/>
      <c r="V8" s="37"/>
      <c r="W8" s="38"/>
      <c r="X8" s="38"/>
      <c r="Y8" s="37"/>
      <c r="Z8" s="38"/>
      <c r="AA8" s="39"/>
    </row>
    <row r="9" spans="1:27" x14ac:dyDescent="0.25">
      <c r="A9" s="13"/>
      <c r="B9" s="14"/>
      <c r="C9" s="13">
        <v>54</v>
      </c>
      <c r="D9" s="15">
        <f>Reference!B151</f>
        <v>0</v>
      </c>
      <c r="E9" s="16">
        <f>Reference!C151</f>
        <v>0</v>
      </c>
      <c r="F9" s="16">
        <f>Reference!D151</f>
        <v>0</v>
      </c>
      <c r="G9" s="16">
        <f>Reference!E151</f>
        <v>0</v>
      </c>
      <c r="H9" s="16">
        <f>Reference!F151</f>
        <v>0</v>
      </c>
      <c r="I9" s="16">
        <f>Reference!G151</f>
        <v>0</v>
      </c>
      <c r="J9" s="28">
        <f t="shared" si="1"/>
        <v>0</v>
      </c>
      <c r="L9" s="15">
        <f>Test!B151</f>
        <v>0</v>
      </c>
      <c r="M9" s="16">
        <f>Test!C151</f>
        <v>0</v>
      </c>
      <c r="N9" s="16">
        <f>Test!D151</f>
        <v>0</v>
      </c>
      <c r="O9" s="16">
        <f>Test!E151</f>
        <v>0</v>
      </c>
      <c r="P9" s="16">
        <f>Test!F151</f>
        <v>0</v>
      </c>
      <c r="Q9" s="16">
        <f>Test!G151</f>
        <v>0</v>
      </c>
      <c r="R9" s="28">
        <f t="shared" si="2"/>
        <v>0</v>
      </c>
      <c r="S9" s="15" t="e">
        <f t="shared" si="3"/>
        <v>#DIV/0!</v>
      </c>
      <c r="T9" s="16" t="e">
        <f t="shared" si="4"/>
        <v>#DIV/0!</v>
      </c>
      <c r="U9" s="36"/>
      <c r="V9" s="37"/>
      <c r="W9" s="38"/>
      <c r="X9" s="38"/>
      <c r="Y9" s="37"/>
      <c r="Z9" s="38"/>
      <c r="AA9" s="39"/>
    </row>
    <row r="10" spans="1:27" ht="12" thickBot="1" x14ac:dyDescent="0.3">
      <c r="A10" s="13"/>
      <c r="B10" s="17"/>
      <c r="C10" s="18">
        <v>61</v>
      </c>
      <c r="D10" s="19">
        <f>Reference!B152</f>
        <v>0</v>
      </c>
      <c r="E10" s="20">
        <f>Reference!C152</f>
        <v>0</v>
      </c>
      <c r="F10" s="20">
        <f>Reference!D152</f>
        <v>0</v>
      </c>
      <c r="G10" s="20">
        <f>Reference!E152</f>
        <v>0</v>
      </c>
      <c r="H10" s="20">
        <f>Reference!F152</f>
        <v>0</v>
      </c>
      <c r="I10" s="20">
        <f>Reference!G152</f>
        <v>0</v>
      </c>
      <c r="J10" s="29">
        <f t="shared" si="1"/>
        <v>0</v>
      </c>
      <c r="L10" s="19">
        <f>Test!B152</f>
        <v>0</v>
      </c>
      <c r="M10" s="20">
        <f>Test!C152</f>
        <v>0</v>
      </c>
      <c r="N10" s="20">
        <f>Test!D152</f>
        <v>0</v>
      </c>
      <c r="O10" s="20">
        <f>Test!E152</f>
        <v>0</v>
      </c>
      <c r="P10" s="20">
        <f>Test!F152</f>
        <v>0</v>
      </c>
      <c r="Q10" s="20">
        <f>Test!G152</f>
        <v>0</v>
      </c>
      <c r="R10" s="29">
        <f t="shared" si="2"/>
        <v>0</v>
      </c>
      <c r="S10" s="15" t="e">
        <f t="shared" si="3"/>
        <v>#DIV/0!</v>
      </c>
      <c r="T10" s="16" t="e">
        <f t="shared" si="4"/>
        <v>#DIV/0!</v>
      </c>
      <c r="U10" s="36"/>
      <c r="V10" s="40"/>
      <c r="W10" s="41"/>
      <c r="X10" s="41"/>
      <c r="Y10" s="40"/>
      <c r="Z10" s="41"/>
      <c r="AA10" s="42"/>
    </row>
    <row r="11" spans="1:27" x14ac:dyDescent="0.25">
      <c r="A11" s="21"/>
      <c r="B11" s="22" t="s">
        <v>42</v>
      </c>
      <c r="C11" s="10">
        <v>43</v>
      </c>
      <c r="D11" s="11">
        <f>Reference!B153</f>
        <v>0</v>
      </c>
      <c r="E11" s="12">
        <f>Reference!C153</f>
        <v>0</v>
      </c>
      <c r="F11" s="12">
        <f>Reference!D153</f>
        <v>0</v>
      </c>
      <c r="G11" s="12">
        <f>Reference!E153</f>
        <v>0</v>
      </c>
      <c r="H11" s="12">
        <f>Reference!F153</f>
        <v>0</v>
      </c>
      <c r="I11" s="12">
        <f>Reference!G153</f>
        <v>0</v>
      </c>
      <c r="J11" s="27">
        <f t="shared" si="1"/>
        <v>0</v>
      </c>
      <c r="L11" s="11">
        <f>Test!B153</f>
        <v>0</v>
      </c>
      <c r="M11" s="12">
        <f>Test!C153</f>
        <v>0</v>
      </c>
      <c r="N11" s="12">
        <f>Test!D153</f>
        <v>0</v>
      </c>
      <c r="O11" s="12">
        <f>Test!E153</f>
        <v>0</v>
      </c>
      <c r="P11" s="12">
        <f>Test!F153</f>
        <v>0</v>
      </c>
      <c r="Q11" s="12">
        <f>Test!G153</f>
        <v>0</v>
      </c>
      <c r="R11" s="27">
        <f t="shared" si="2"/>
        <v>0</v>
      </c>
      <c r="S11" s="15" t="e">
        <f t="shared" si="3"/>
        <v>#DIV/0!</v>
      </c>
      <c r="T11" s="16" t="e">
        <f t="shared" si="4"/>
        <v>#DIV/0!</v>
      </c>
      <c r="U11" s="36"/>
      <c r="V11" s="33" t="e">
        <f>bdrate($D11:$D14,E11:E14,$L11:$L14,M11:M14)</f>
        <v>#VALUE!</v>
      </c>
      <c r="W11" s="34" t="e">
        <f>bdrate($D11:$D14,F11:F14,$L11:$L14,N11:N14)</f>
        <v>#VALUE!</v>
      </c>
      <c r="X11" s="35" t="e">
        <f>bdrate($D11:$D14,G11:G14,$L11:$L14,O11:O14)</f>
        <v>#VALUE!</v>
      </c>
      <c r="Y11" s="33" t="e">
        <f>bdrateOld($D11:$D14,E11:E14,$L11:$L14,M11:M14)</f>
        <v>#VALUE!</v>
      </c>
      <c r="Z11" s="34" t="e">
        <f>bdrateOld($D11:$D14,F11:F14,$L11:$L14,N11:N14)</f>
        <v>#VALUE!</v>
      </c>
      <c r="AA11" s="35" t="e">
        <f>bdrateOld($D11:$D14,G11:G14,$L11:$L14,O11:O14)</f>
        <v>#VALUE!</v>
      </c>
    </row>
    <row r="12" spans="1:27" x14ac:dyDescent="0.25">
      <c r="A12" s="21"/>
      <c r="B12" s="23"/>
      <c r="C12" s="13">
        <v>48</v>
      </c>
      <c r="D12" s="15">
        <f>Reference!B154</f>
        <v>0</v>
      </c>
      <c r="E12" s="16">
        <f>Reference!C154</f>
        <v>0</v>
      </c>
      <c r="F12" s="16">
        <f>Reference!D154</f>
        <v>0</v>
      </c>
      <c r="G12" s="16">
        <f>Reference!E154</f>
        <v>0</v>
      </c>
      <c r="H12" s="16">
        <f>Reference!F154</f>
        <v>0</v>
      </c>
      <c r="I12" s="16">
        <f>Reference!G154</f>
        <v>0</v>
      </c>
      <c r="J12" s="28">
        <f t="shared" si="1"/>
        <v>0</v>
      </c>
      <c r="L12" s="15">
        <f>Test!B154</f>
        <v>0</v>
      </c>
      <c r="M12" s="16">
        <f>Test!C154</f>
        <v>0</v>
      </c>
      <c r="N12" s="16">
        <f>Test!D154</f>
        <v>0</v>
      </c>
      <c r="O12" s="16">
        <f>Test!E154</f>
        <v>0</v>
      </c>
      <c r="P12" s="16">
        <f>Test!F154</f>
        <v>0</v>
      </c>
      <c r="Q12" s="16">
        <f>Test!G154</f>
        <v>0</v>
      </c>
      <c r="R12" s="28">
        <f t="shared" si="2"/>
        <v>0</v>
      </c>
      <c r="S12" s="15" t="e">
        <f t="shared" si="3"/>
        <v>#DIV/0!</v>
      </c>
      <c r="T12" s="16" t="e">
        <f t="shared" si="4"/>
        <v>#DIV/0!</v>
      </c>
      <c r="U12" s="36"/>
      <c r="V12" s="37"/>
      <c r="W12" s="38"/>
      <c r="X12" s="38"/>
      <c r="Y12" s="37"/>
      <c r="Z12" s="38"/>
      <c r="AA12" s="39"/>
    </row>
    <row r="13" spans="1:27" x14ac:dyDescent="0.25">
      <c r="A13" s="21"/>
      <c r="B13" s="23"/>
      <c r="C13" s="13">
        <v>54</v>
      </c>
      <c r="D13" s="15">
        <f>Reference!B155</f>
        <v>0</v>
      </c>
      <c r="E13" s="16">
        <f>Reference!C155</f>
        <v>0</v>
      </c>
      <c r="F13" s="16">
        <f>Reference!D155</f>
        <v>0</v>
      </c>
      <c r="G13" s="16">
        <f>Reference!E155</f>
        <v>0</v>
      </c>
      <c r="H13" s="16">
        <f>Reference!F155</f>
        <v>0</v>
      </c>
      <c r="I13" s="16">
        <f>Reference!G155</f>
        <v>0</v>
      </c>
      <c r="J13" s="28">
        <f t="shared" si="1"/>
        <v>0</v>
      </c>
      <c r="L13" s="15">
        <f>Test!B155</f>
        <v>0</v>
      </c>
      <c r="M13" s="16">
        <f>Test!C155</f>
        <v>0</v>
      </c>
      <c r="N13" s="16">
        <f>Test!D155</f>
        <v>0</v>
      </c>
      <c r="O13" s="16">
        <f>Test!E155</f>
        <v>0</v>
      </c>
      <c r="P13" s="16">
        <f>Test!F155</f>
        <v>0</v>
      </c>
      <c r="Q13" s="16">
        <f>Test!G155</f>
        <v>0</v>
      </c>
      <c r="R13" s="28">
        <f t="shared" si="2"/>
        <v>0</v>
      </c>
      <c r="S13" s="15" t="e">
        <f t="shared" si="3"/>
        <v>#DIV/0!</v>
      </c>
      <c r="T13" s="16" t="e">
        <f t="shared" si="4"/>
        <v>#DIV/0!</v>
      </c>
      <c r="U13" s="36"/>
      <c r="V13" s="37"/>
      <c r="W13" s="38"/>
      <c r="X13" s="38"/>
      <c r="Y13" s="37"/>
      <c r="Z13" s="38"/>
      <c r="AA13" s="39"/>
    </row>
    <row r="14" spans="1:27" ht="12" thickBot="1" x14ac:dyDescent="0.3">
      <c r="A14" s="21"/>
      <c r="B14" s="24"/>
      <c r="C14" s="18">
        <v>61</v>
      </c>
      <c r="D14" s="19">
        <f>Reference!B156</f>
        <v>0</v>
      </c>
      <c r="E14" s="20">
        <f>Reference!C156</f>
        <v>0</v>
      </c>
      <c r="F14" s="20">
        <f>Reference!D156</f>
        <v>0</v>
      </c>
      <c r="G14" s="20">
        <f>Reference!E156</f>
        <v>0</v>
      </c>
      <c r="H14" s="20">
        <f>Reference!F156</f>
        <v>0</v>
      </c>
      <c r="I14" s="20">
        <f>Reference!G156</f>
        <v>0</v>
      </c>
      <c r="J14" s="29">
        <f t="shared" si="1"/>
        <v>0</v>
      </c>
      <c r="L14" s="19">
        <f>Test!B156</f>
        <v>0</v>
      </c>
      <c r="M14" s="20">
        <f>Test!C156</f>
        <v>0</v>
      </c>
      <c r="N14" s="20">
        <f>Test!D156</f>
        <v>0</v>
      </c>
      <c r="O14" s="20">
        <f>Test!E156</f>
        <v>0</v>
      </c>
      <c r="P14" s="20">
        <f>Test!F156</f>
        <v>0</v>
      </c>
      <c r="Q14" s="20">
        <f>Test!G156</f>
        <v>0</v>
      </c>
      <c r="R14" s="29">
        <f t="shared" si="2"/>
        <v>0</v>
      </c>
      <c r="S14" s="15" t="e">
        <f t="shared" si="3"/>
        <v>#DIV/0!</v>
      </c>
      <c r="T14" s="16" t="e">
        <f t="shared" si="4"/>
        <v>#DIV/0!</v>
      </c>
      <c r="U14" s="36"/>
      <c r="V14" s="40"/>
      <c r="W14" s="41"/>
      <c r="X14" s="41"/>
      <c r="Y14" s="40"/>
      <c r="Z14" s="41"/>
      <c r="AA14" s="42"/>
    </row>
    <row r="15" spans="1:27" x14ac:dyDescent="0.25">
      <c r="A15" s="13"/>
      <c r="B15" s="6" t="s">
        <v>44</v>
      </c>
      <c r="C15" s="10">
        <v>43</v>
      </c>
      <c r="D15" s="11">
        <f>Reference!B157</f>
        <v>0</v>
      </c>
      <c r="E15" s="12">
        <f>Reference!C157</f>
        <v>0</v>
      </c>
      <c r="F15" s="12">
        <f>Reference!D157</f>
        <v>0</v>
      </c>
      <c r="G15" s="12">
        <f>Reference!E157</f>
        <v>0</v>
      </c>
      <c r="H15" s="12">
        <f>Reference!F157</f>
        <v>0</v>
      </c>
      <c r="I15" s="12">
        <f>Reference!G157</f>
        <v>0</v>
      </c>
      <c r="J15" s="27">
        <f t="shared" si="1"/>
        <v>0</v>
      </c>
      <c r="L15" s="11">
        <f>Test!B157</f>
        <v>0</v>
      </c>
      <c r="M15" s="12">
        <f>Test!C157</f>
        <v>0</v>
      </c>
      <c r="N15" s="12">
        <f>Test!D157</f>
        <v>0</v>
      </c>
      <c r="O15" s="12">
        <f>Test!E157</f>
        <v>0</v>
      </c>
      <c r="P15" s="12">
        <f>Test!F157</f>
        <v>0</v>
      </c>
      <c r="Q15" s="12">
        <f>Test!G157</f>
        <v>0</v>
      </c>
      <c r="R15" s="27">
        <f t="shared" si="2"/>
        <v>0</v>
      </c>
      <c r="S15" s="15" t="e">
        <f t="shared" si="3"/>
        <v>#DIV/0!</v>
      </c>
      <c r="T15" s="16" t="e">
        <f t="shared" si="4"/>
        <v>#DIV/0!</v>
      </c>
      <c r="U15" s="36"/>
      <c r="V15" s="33" t="e">
        <f>bdrate($D15:$D18,E15:E18,$L15:$L18,M15:M18)</f>
        <v>#VALUE!</v>
      </c>
      <c r="W15" s="34" t="e">
        <f>bdrate($D15:$D18,F15:F18,$L15:$L18,N15:N18)</f>
        <v>#VALUE!</v>
      </c>
      <c r="X15" s="35" t="e">
        <f>bdrate($D15:$D18,G15:G18,$L15:$L18,O15:O18)</f>
        <v>#VALUE!</v>
      </c>
      <c r="Y15" s="33" t="e">
        <f>bdrateOld($D15:$D18,E15:E18,$L15:$L18,M15:M18)</f>
        <v>#VALUE!</v>
      </c>
      <c r="Z15" s="34" t="e">
        <f>bdrateOld($D15:$D18,F15:F18,$L15:$L18,N15:N18)</f>
        <v>#VALUE!</v>
      </c>
      <c r="AA15" s="35" t="e">
        <f>bdrateOld($D15:$D18,G15:G18,$L15:$L18,O15:O18)</f>
        <v>#VALUE!</v>
      </c>
    </row>
    <row r="16" spans="1:27" x14ac:dyDescent="0.25">
      <c r="A16" s="13"/>
      <c r="B16" s="14"/>
      <c r="C16" s="13">
        <v>48</v>
      </c>
      <c r="D16" s="15">
        <f>Reference!B158</f>
        <v>0</v>
      </c>
      <c r="E16" s="16">
        <f>Reference!C158</f>
        <v>0</v>
      </c>
      <c r="F16" s="16">
        <f>Reference!D158</f>
        <v>0</v>
      </c>
      <c r="G16" s="16">
        <f>Reference!E158</f>
        <v>0</v>
      </c>
      <c r="H16" s="16">
        <f>Reference!F158</f>
        <v>0</v>
      </c>
      <c r="I16" s="16">
        <f>Reference!G158</f>
        <v>0</v>
      </c>
      <c r="J16" s="28">
        <f t="shared" ref="J16:J27" si="5">H16/3600</f>
        <v>0</v>
      </c>
      <c r="L16" s="15">
        <f>Test!B158</f>
        <v>0</v>
      </c>
      <c r="M16" s="16">
        <f>Test!C158</f>
        <v>0</v>
      </c>
      <c r="N16" s="16">
        <f>Test!D158</f>
        <v>0</v>
      </c>
      <c r="O16" s="16">
        <f>Test!E158</f>
        <v>0</v>
      </c>
      <c r="P16" s="16">
        <f>Test!F158</f>
        <v>0</v>
      </c>
      <c r="Q16" s="16">
        <f>Test!G158</f>
        <v>0</v>
      </c>
      <c r="R16" s="28">
        <f t="shared" ref="R16:R27" si="6">P16/3600</f>
        <v>0</v>
      </c>
      <c r="S16" s="15" t="e">
        <f t="shared" si="3"/>
        <v>#DIV/0!</v>
      </c>
      <c r="T16" s="16" t="e">
        <f t="shared" si="4"/>
        <v>#DIV/0!</v>
      </c>
      <c r="U16" s="36"/>
      <c r="V16" s="37"/>
      <c r="W16" s="38"/>
      <c r="X16" s="39"/>
      <c r="Y16" s="37"/>
      <c r="Z16" s="38"/>
      <c r="AA16" s="39"/>
    </row>
    <row r="17" spans="1:27" x14ac:dyDescent="0.25">
      <c r="A17" s="13"/>
      <c r="B17" s="14"/>
      <c r="C17" s="13">
        <v>54</v>
      </c>
      <c r="D17" s="15">
        <f>Reference!B159</f>
        <v>0</v>
      </c>
      <c r="E17" s="16">
        <f>Reference!C159</f>
        <v>0</v>
      </c>
      <c r="F17" s="16">
        <f>Reference!D159</f>
        <v>0</v>
      </c>
      <c r="G17" s="16">
        <f>Reference!E159</f>
        <v>0</v>
      </c>
      <c r="H17" s="16">
        <f>Reference!F159</f>
        <v>0</v>
      </c>
      <c r="I17" s="16">
        <f>Reference!G159</f>
        <v>0</v>
      </c>
      <c r="J17" s="28">
        <f t="shared" si="5"/>
        <v>0</v>
      </c>
      <c r="L17" s="15">
        <f>Test!B159</f>
        <v>0</v>
      </c>
      <c r="M17" s="16">
        <f>Test!C159</f>
        <v>0</v>
      </c>
      <c r="N17" s="16">
        <f>Test!D159</f>
        <v>0</v>
      </c>
      <c r="O17" s="16">
        <f>Test!E159</f>
        <v>0</v>
      </c>
      <c r="P17" s="16">
        <f>Test!F159</f>
        <v>0</v>
      </c>
      <c r="Q17" s="16">
        <f>Test!G159</f>
        <v>0</v>
      </c>
      <c r="R17" s="28">
        <f t="shared" si="6"/>
        <v>0</v>
      </c>
      <c r="S17" s="15" t="e">
        <f t="shared" si="3"/>
        <v>#DIV/0!</v>
      </c>
      <c r="T17" s="16" t="e">
        <f t="shared" si="4"/>
        <v>#DIV/0!</v>
      </c>
      <c r="U17" s="36"/>
      <c r="V17" s="37"/>
      <c r="W17" s="38"/>
      <c r="X17" s="39"/>
      <c r="Y17" s="37"/>
      <c r="Z17" s="38"/>
      <c r="AA17" s="39"/>
    </row>
    <row r="18" spans="1:27" ht="12" thickBot="1" x14ac:dyDescent="0.3">
      <c r="A18" s="13"/>
      <c r="B18" s="17"/>
      <c r="C18" s="18">
        <v>61</v>
      </c>
      <c r="D18" s="19">
        <f>Reference!B160</f>
        <v>0</v>
      </c>
      <c r="E18" s="20">
        <f>Reference!C160</f>
        <v>0</v>
      </c>
      <c r="F18" s="20">
        <f>Reference!D160</f>
        <v>0</v>
      </c>
      <c r="G18" s="20">
        <f>Reference!E160</f>
        <v>0</v>
      </c>
      <c r="H18" s="20">
        <f>Reference!F160</f>
        <v>0</v>
      </c>
      <c r="I18" s="20">
        <f>Reference!G160</f>
        <v>0</v>
      </c>
      <c r="J18" s="29">
        <f t="shared" si="5"/>
        <v>0</v>
      </c>
      <c r="L18" s="19">
        <f>Test!B160</f>
        <v>0</v>
      </c>
      <c r="M18" s="20">
        <f>Test!C160</f>
        <v>0</v>
      </c>
      <c r="N18" s="20">
        <f>Test!D160</f>
        <v>0</v>
      </c>
      <c r="O18" s="20">
        <f>Test!E160</f>
        <v>0</v>
      </c>
      <c r="P18" s="20">
        <f>Test!F160</f>
        <v>0</v>
      </c>
      <c r="Q18" s="20">
        <f>Test!G160</f>
        <v>0</v>
      </c>
      <c r="R18" s="29">
        <f t="shared" si="6"/>
        <v>0</v>
      </c>
      <c r="S18" s="15" t="e">
        <f t="shared" si="3"/>
        <v>#DIV/0!</v>
      </c>
      <c r="T18" s="16" t="e">
        <f t="shared" si="4"/>
        <v>#DIV/0!</v>
      </c>
      <c r="U18" s="36"/>
      <c r="V18" s="40"/>
      <c r="W18" s="41"/>
      <c r="X18" s="42"/>
      <c r="Y18" s="40"/>
      <c r="Z18" s="41"/>
      <c r="AA18" s="42"/>
    </row>
    <row r="19" spans="1:27" ht="12" x14ac:dyDescent="0.25">
      <c r="A19" s="9" t="s">
        <v>8</v>
      </c>
      <c r="B19" s="14" t="s">
        <v>45</v>
      </c>
      <c r="C19" s="10">
        <v>27</v>
      </c>
      <c r="D19" s="11">
        <f>Reference!B161</f>
        <v>0</v>
      </c>
      <c r="E19" s="12">
        <f>Reference!C161</f>
        <v>0</v>
      </c>
      <c r="F19" s="12">
        <f>Reference!D161</f>
        <v>0</v>
      </c>
      <c r="G19" s="12">
        <f>Reference!E161</f>
        <v>0</v>
      </c>
      <c r="H19" s="12">
        <f>Reference!F161</f>
        <v>0</v>
      </c>
      <c r="I19" s="12">
        <f>Reference!G161</f>
        <v>0</v>
      </c>
      <c r="J19" s="27">
        <f t="shared" si="5"/>
        <v>0</v>
      </c>
      <c r="L19" s="11">
        <f>Test!B161</f>
        <v>0</v>
      </c>
      <c r="M19" s="12">
        <f>Test!C161</f>
        <v>0</v>
      </c>
      <c r="N19" s="12">
        <f>Test!D161</f>
        <v>0</v>
      </c>
      <c r="O19" s="12">
        <f>Test!E161</f>
        <v>0</v>
      </c>
      <c r="P19" s="12">
        <f>Test!F161</f>
        <v>0</v>
      </c>
      <c r="Q19" s="12">
        <f>Test!G161</f>
        <v>0</v>
      </c>
      <c r="R19" s="27">
        <f t="shared" si="6"/>
        <v>0</v>
      </c>
      <c r="S19" s="11" t="e">
        <f t="shared" si="3"/>
        <v>#DIV/0!</v>
      </c>
      <c r="T19" s="12" t="e">
        <f t="shared" si="4"/>
        <v>#DIV/0!</v>
      </c>
      <c r="U19" s="32"/>
      <c r="V19" s="33" t="e">
        <f>bdrate($D19:$D22,E19:E22,$L19:$L22,M19:M22)</f>
        <v>#VALUE!</v>
      </c>
      <c r="W19" s="34" t="e">
        <f>bdrate($D19:$D22,F19:F22,$L19:$L22,N19:N22)</f>
        <v>#VALUE!</v>
      </c>
      <c r="X19" s="35" t="e">
        <f>bdrate($D19:$D22,G19:G22,$L19:$L22,O19:O22)</f>
        <v>#VALUE!</v>
      </c>
      <c r="Y19" s="33" t="e">
        <f>bdrateOld($D19:$D22,E19:E22,$L19:$L22,M19:M22)</f>
        <v>#VALUE!</v>
      </c>
      <c r="Z19" s="34" t="e">
        <f>bdrateOld($D19:$D22,F19:F22,$L19:$L22,N19:N22)</f>
        <v>#VALUE!</v>
      </c>
      <c r="AA19" s="35" t="e">
        <f>bdrateOld($D19:$D22,G19:G22,$L19:$L22,O19:O22)</f>
        <v>#VALUE!</v>
      </c>
    </row>
    <row r="20" spans="1:27" x14ac:dyDescent="0.25">
      <c r="A20" s="13" t="s">
        <v>73</v>
      </c>
      <c r="B20" s="14"/>
      <c r="C20" s="13">
        <v>32</v>
      </c>
      <c r="D20" s="15">
        <f>Reference!B162</f>
        <v>0</v>
      </c>
      <c r="E20" s="16">
        <f>Reference!C162</f>
        <v>0</v>
      </c>
      <c r="F20" s="16">
        <f>Reference!D162</f>
        <v>0</v>
      </c>
      <c r="G20" s="16">
        <f>Reference!E162</f>
        <v>0</v>
      </c>
      <c r="H20" s="16">
        <f>Reference!F162</f>
        <v>0</v>
      </c>
      <c r="I20" s="16">
        <f>Reference!G162</f>
        <v>0</v>
      </c>
      <c r="J20" s="28">
        <f t="shared" si="5"/>
        <v>0</v>
      </c>
      <c r="L20" s="15">
        <f>Test!B162</f>
        <v>0</v>
      </c>
      <c r="M20" s="16">
        <f>Test!C162</f>
        <v>0</v>
      </c>
      <c r="N20" s="16">
        <f>Test!D162</f>
        <v>0</v>
      </c>
      <c r="O20" s="16">
        <f>Test!E162</f>
        <v>0</v>
      </c>
      <c r="P20" s="16">
        <f>Test!F162</f>
        <v>0</v>
      </c>
      <c r="Q20" s="16">
        <f>Test!G162</f>
        <v>0</v>
      </c>
      <c r="R20" s="28">
        <f t="shared" si="6"/>
        <v>0</v>
      </c>
      <c r="S20" s="15" t="e">
        <f t="shared" si="3"/>
        <v>#DIV/0!</v>
      </c>
      <c r="T20" s="16" t="e">
        <f t="shared" si="4"/>
        <v>#DIV/0!</v>
      </c>
      <c r="U20" s="36"/>
      <c r="V20" s="37"/>
      <c r="W20" s="38"/>
      <c r="X20" s="38"/>
      <c r="Y20" s="37"/>
      <c r="Z20" s="38"/>
      <c r="AA20" s="39"/>
    </row>
    <row r="21" spans="1:27" x14ac:dyDescent="0.25">
      <c r="A21" s="13"/>
      <c r="B21" s="14"/>
      <c r="C21" s="13">
        <v>38</v>
      </c>
      <c r="D21" s="15">
        <f>Reference!B163</f>
        <v>0</v>
      </c>
      <c r="E21" s="16">
        <f>Reference!C163</f>
        <v>0</v>
      </c>
      <c r="F21" s="16">
        <f>Reference!D163</f>
        <v>0</v>
      </c>
      <c r="G21" s="16">
        <f>Reference!E163</f>
        <v>0</v>
      </c>
      <c r="H21" s="16">
        <f>Reference!F163</f>
        <v>0</v>
      </c>
      <c r="I21" s="16">
        <f>Reference!G163</f>
        <v>0</v>
      </c>
      <c r="J21" s="28">
        <f t="shared" si="5"/>
        <v>0</v>
      </c>
      <c r="L21" s="15">
        <f>Test!B163</f>
        <v>0</v>
      </c>
      <c r="M21" s="16">
        <f>Test!C163</f>
        <v>0</v>
      </c>
      <c r="N21" s="16">
        <f>Test!D163</f>
        <v>0</v>
      </c>
      <c r="O21" s="16">
        <f>Test!E163</f>
        <v>0</v>
      </c>
      <c r="P21" s="16">
        <f>Test!F163</f>
        <v>0</v>
      </c>
      <c r="Q21" s="16">
        <f>Test!G163</f>
        <v>0</v>
      </c>
      <c r="R21" s="28">
        <f t="shared" si="6"/>
        <v>0</v>
      </c>
      <c r="S21" s="15" t="e">
        <f t="shared" si="3"/>
        <v>#DIV/0!</v>
      </c>
      <c r="T21" s="16" t="e">
        <f t="shared" si="4"/>
        <v>#DIV/0!</v>
      </c>
      <c r="U21" s="36"/>
      <c r="V21" s="37"/>
      <c r="W21" s="38"/>
      <c r="X21" s="38"/>
      <c r="Y21" s="37"/>
      <c r="Z21" s="38"/>
      <c r="AA21" s="39"/>
    </row>
    <row r="22" spans="1:27" ht="12" thickBot="1" x14ac:dyDescent="0.3">
      <c r="A22" s="13"/>
      <c r="B22" s="17"/>
      <c r="C22" s="18">
        <v>45</v>
      </c>
      <c r="D22" s="19">
        <f>Reference!B164</f>
        <v>0</v>
      </c>
      <c r="E22" s="20">
        <f>Reference!C164</f>
        <v>0</v>
      </c>
      <c r="F22" s="20">
        <f>Reference!D164</f>
        <v>0</v>
      </c>
      <c r="G22" s="20">
        <f>Reference!E164</f>
        <v>0</v>
      </c>
      <c r="H22" s="20">
        <f>Reference!F164</f>
        <v>0</v>
      </c>
      <c r="I22" s="20">
        <f>Reference!G164</f>
        <v>0</v>
      </c>
      <c r="J22" s="29">
        <f t="shared" si="5"/>
        <v>0</v>
      </c>
      <c r="L22" s="19">
        <f>Test!B164</f>
        <v>0</v>
      </c>
      <c r="M22" s="20">
        <f>Test!C164</f>
        <v>0</v>
      </c>
      <c r="N22" s="20">
        <f>Test!D164</f>
        <v>0</v>
      </c>
      <c r="O22" s="20">
        <f>Test!E164</f>
        <v>0</v>
      </c>
      <c r="P22" s="20">
        <f>Test!F164</f>
        <v>0</v>
      </c>
      <c r="Q22" s="20">
        <f>Test!G164</f>
        <v>0</v>
      </c>
      <c r="R22" s="29">
        <f t="shared" si="6"/>
        <v>0</v>
      </c>
      <c r="S22" s="15" t="e">
        <f t="shared" si="3"/>
        <v>#DIV/0!</v>
      </c>
      <c r="T22" s="16" t="e">
        <f t="shared" si="4"/>
        <v>#DIV/0!</v>
      </c>
      <c r="U22" s="36"/>
      <c r="V22" s="40"/>
      <c r="W22" s="41"/>
      <c r="X22" s="41"/>
      <c r="Y22" s="40"/>
      <c r="Z22" s="41"/>
      <c r="AA22" s="42"/>
    </row>
    <row r="23" spans="1:27" x14ac:dyDescent="0.25">
      <c r="A23" s="21"/>
      <c r="B23" s="14" t="s">
        <v>46</v>
      </c>
      <c r="C23" s="10">
        <v>27</v>
      </c>
      <c r="D23" s="11">
        <f>Reference!B165</f>
        <v>0</v>
      </c>
      <c r="E23" s="12">
        <f>Reference!C165</f>
        <v>0</v>
      </c>
      <c r="F23" s="12">
        <f>Reference!D165</f>
        <v>0</v>
      </c>
      <c r="G23" s="12">
        <f>Reference!E165</f>
        <v>0</v>
      </c>
      <c r="H23" s="12">
        <f>Reference!F165</f>
        <v>0</v>
      </c>
      <c r="I23" s="12">
        <f>Reference!G165</f>
        <v>0</v>
      </c>
      <c r="J23" s="27">
        <f t="shared" si="5"/>
        <v>0</v>
      </c>
      <c r="L23" s="11">
        <f>Test!B165</f>
        <v>0</v>
      </c>
      <c r="M23" s="12">
        <f>Test!C165</f>
        <v>0</v>
      </c>
      <c r="N23" s="12">
        <f>Test!D165</f>
        <v>0</v>
      </c>
      <c r="O23" s="12">
        <f>Test!E165</f>
        <v>0</v>
      </c>
      <c r="P23" s="12">
        <f>Test!F165</f>
        <v>0</v>
      </c>
      <c r="Q23" s="12">
        <f>Test!G165</f>
        <v>0</v>
      </c>
      <c r="R23" s="27">
        <f t="shared" si="6"/>
        <v>0</v>
      </c>
      <c r="S23" s="15" t="e">
        <f t="shared" si="3"/>
        <v>#DIV/0!</v>
      </c>
      <c r="T23" s="16" t="e">
        <f t="shared" si="4"/>
        <v>#DIV/0!</v>
      </c>
      <c r="U23" s="36"/>
      <c r="V23" s="33" t="e">
        <f>bdrate($D23:$D26,E23:E26,$L23:$L26,M23:M26)</f>
        <v>#VALUE!</v>
      </c>
      <c r="W23" s="34" t="e">
        <f>bdrate($D23:$D26,F23:F26,$L23:$L26,N23:N26)</f>
        <v>#VALUE!</v>
      </c>
      <c r="X23" s="35" t="e">
        <f>bdrate($D23:$D26,G23:G26,$L23:$L26,O23:O26)</f>
        <v>#VALUE!</v>
      </c>
      <c r="Y23" s="33" t="e">
        <f>bdrateOld($D23:$D26,E23:E26,$L23:$L26,M23:M26)</f>
        <v>#VALUE!</v>
      </c>
      <c r="Z23" s="34" t="e">
        <f>bdrateOld($D23:$D26,F23:F26,$L23:$L26,N23:N26)</f>
        <v>#VALUE!</v>
      </c>
      <c r="AA23" s="35" t="e">
        <f>bdrateOld($D23:$D26,G23:G26,$L23:$L26,O23:O26)</f>
        <v>#VALUE!</v>
      </c>
    </row>
    <row r="24" spans="1:27" x14ac:dyDescent="0.25">
      <c r="A24" s="21"/>
      <c r="B24" s="14"/>
      <c r="C24" s="13">
        <v>32</v>
      </c>
      <c r="D24" s="15">
        <f>Reference!B166</f>
        <v>0</v>
      </c>
      <c r="E24" s="16">
        <f>Reference!C166</f>
        <v>0</v>
      </c>
      <c r="F24" s="16">
        <f>Reference!D166</f>
        <v>0</v>
      </c>
      <c r="G24" s="16">
        <f>Reference!E166</f>
        <v>0</v>
      </c>
      <c r="H24" s="16">
        <f>Reference!F166</f>
        <v>0</v>
      </c>
      <c r="I24" s="16">
        <f>Reference!G166</f>
        <v>0</v>
      </c>
      <c r="J24" s="28">
        <f t="shared" si="5"/>
        <v>0</v>
      </c>
      <c r="L24" s="15">
        <f>Test!B166</f>
        <v>0</v>
      </c>
      <c r="M24" s="16">
        <f>Test!C166</f>
        <v>0</v>
      </c>
      <c r="N24" s="16">
        <f>Test!D166</f>
        <v>0</v>
      </c>
      <c r="O24" s="16">
        <f>Test!E166</f>
        <v>0</v>
      </c>
      <c r="P24" s="16">
        <f>Test!F166</f>
        <v>0</v>
      </c>
      <c r="Q24" s="16">
        <f>Test!G166</f>
        <v>0</v>
      </c>
      <c r="R24" s="28">
        <f t="shared" si="6"/>
        <v>0</v>
      </c>
      <c r="S24" s="15" t="e">
        <f t="shared" si="3"/>
        <v>#DIV/0!</v>
      </c>
      <c r="T24" s="16" t="e">
        <f t="shared" si="4"/>
        <v>#DIV/0!</v>
      </c>
      <c r="U24" s="36"/>
      <c r="V24" s="37"/>
      <c r="W24" s="38"/>
      <c r="X24" s="38"/>
      <c r="Y24" s="37"/>
      <c r="Z24" s="38"/>
      <c r="AA24" s="39"/>
    </row>
    <row r="25" spans="1:27" x14ac:dyDescent="0.25">
      <c r="A25" s="21"/>
      <c r="B25" s="23"/>
      <c r="C25" s="13">
        <v>38</v>
      </c>
      <c r="D25" s="15">
        <f>Reference!B167</f>
        <v>0</v>
      </c>
      <c r="E25" s="16">
        <f>Reference!C167</f>
        <v>0</v>
      </c>
      <c r="F25" s="16">
        <f>Reference!D167</f>
        <v>0</v>
      </c>
      <c r="G25" s="16">
        <f>Reference!E167</f>
        <v>0</v>
      </c>
      <c r="H25" s="16">
        <f>Reference!F167</f>
        <v>0</v>
      </c>
      <c r="I25" s="16">
        <f>Reference!G167</f>
        <v>0</v>
      </c>
      <c r="J25" s="28">
        <f t="shared" si="5"/>
        <v>0</v>
      </c>
      <c r="L25" s="15">
        <f>Test!B167</f>
        <v>0</v>
      </c>
      <c r="M25" s="16">
        <f>Test!C167</f>
        <v>0</v>
      </c>
      <c r="N25" s="16">
        <f>Test!D167</f>
        <v>0</v>
      </c>
      <c r="O25" s="16">
        <f>Test!E167</f>
        <v>0</v>
      </c>
      <c r="P25" s="16">
        <f>Test!F167</f>
        <v>0</v>
      </c>
      <c r="Q25" s="16">
        <f>Test!G167</f>
        <v>0</v>
      </c>
      <c r="R25" s="28">
        <f t="shared" si="6"/>
        <v>0</v>
      </c>
      <c r="S25" s="15" t="e">
        <f t="shared" si="3"/>
        <v>#DIV/0!</v>
      </c>
      <c r="T25" s="16" t="e">
        <f t="shared" si="4"/>
        <v>#DIV/0!</v>
      </c>
      <c r="U25" s="36"/>
      <c r="V25" s="37"/>
      <c r="W25" s="38"/>
      <c r="X25" s="38"/>
      <c r="Y25" s="37"/>
      <c r="Z25" s="38"/>
      <c r="AA25" s="39"/>
    </row>
    <row r="26" spans="1:27" ht="12" thickBot="1" x14ac:dyDescent="0.3">
      <c r="A26" s="21"/>
      <c r="B26" s="24"/>
      <c r="C26" s="18">
        <v>45</v>
      </c>
      <c r="D26" s="19">
        <f>Reference!B168</f>
        <v>0</v>
      </c>
      <c r="E26" s="20">
        <f>Reference!C168</f>
        <v>0</v>
      </c>
      <c r="F26" s="20">
        <f>Reference!D168</f>
        <v>0</v>
      </c>
      <c r="G26" s="20">
        <f>Reference!E168</f>
        <v>0</v>
      </c>
      <c r="H26" s="20">
        <f>Reference!F168</f>
        <v>0</v>
      </c>
      <c r="I26" s="20">
        <f>Reference!G168</f>
        <v>0</v>
      </c>
      <c r="J26" s="29">
        <f t="shared" si="5"/>
        <v>0</v>
      </c>
      <c r="L26" s="19">
        <f>Test!B168</f>
        <v>0</v>
      </c>
      <c r="M26" s="20">
        <f>Test!C168</f>
        <v>0</v>
      </c>
      <c r="N26" s="20">
        <f>Test!D168</f>
        <v>0</v>
      </c>
      <c r="O26" s="20">
        <f>Test!E168</f>
        <v>0</v>
      </c>
      <c r="P26" s="20">
        <f>Test!F168</f>
        <v>0</v>
      </c>
      <c r="Q26" s="20">
        <f>Test!G168</f>
        <v>0</v>
      </c>
      <c r="R26" s="29">
        <f t="shared" si="6"/>
        <v>0</v>
      </c>
      <c r="S26" s="15" t="e">
        <f t="shared" si="3"/>
        <v>#DIV/0!</v>
      </c>
      <c r="T26" s="16" t="e">
        <f t="shared" si="4"/>
        <v>#DIV/0!</v>
      </c>
      <c r="U26" s="36"/>
      <c r="V26" s="40"/>
      <c r="W26" s="41"/>
      <c r="X26" s="41"/>
      <c r="Y26" s="40"/>
      <c r="Z26" s="41"/>
      <c r="AA26" s="42"/>
    </row>
    <row r="27" spans="1:27" x14ac:dyDescent="0.25">
      <c r="A27" s="13"/>
      <c r="B27" s="6" t="s">
        <v>47</v>
      </c>
      <c r="C27" s="10">
        <v>43</v>
      </c>
      <c r="D27" s="11">
        <f>Reference!B169</f>
        <v>0</v>
      </c>
      <c r="E27" s="12">
        <f>Reference!C169</f>
        <v>0</v>
      </c>
      <c r="F27" s="12">
        <f>Reference!D169</f>
        <v>0</v>
      </c>
      <c r="G27" s="12">
        <f>Reference!E169</f>
        <v>0</v>
      </c>
      <c r="H27" s="12">
        <f>Reference!F169</f>
        <v>0</v>
      </c>
      <c r="I27" s="12">
        <f>Reference!G169</f>
        <v>0</v>
      </c>
      <c r="J27" s="27">
        <f t="shared" si="5"/>
        <v>0</v>
      </c>
      <c r="L27" s="11">
        <f>Test!B169</f>
        <v>0</v>
      </c>
      <c r="M27" s="12">
        <f>Test!C169</f>
        <v>0</v>
      </c>
      <c r="N27" s="12">
        <f>Test!D169</f>
        <v>0</v>
      </c>
      <c r="O27" s="12">
        <f>Test!E169</f>
        <v>0</v>
      </c>
      <c r="P27" s="12">
        <f>Test!F169</f>
        <v>0</v>
      </c>
      <c r="Q27" s="12">
        <f>Test!G169</f>
        <v>0</v>
      </c>
      <c r="R27" s="27">
        <f t="shared" si="6"/>
        <v>0</v>
      </c>
      <c r="S27" s="15" t="e">
        <f t="shared" ref="S27:T46" si="7">P27/H27</f>
        <v>#DIV/0!</v>
      </c>
      <c r="T27" s="16" t="e">
        <f t="shared" si="7"/>
        <v>#DIV/0!</v>
      </c>
      <c r="U27" s="36"/>
      <c r="V27" s="33" t="e">
        <f>bdrate($D27:$D30,E27:E30,$L27:$L30,M27:M30)</f>
        <v>#VALUE!</v>
      </c>
      <c r="W27" s="34" t="e">
        <f>bdrate($D27:$D30,F27:F30,$L27:$L30,N27:N30)</f>
        <v>#VALUE!</v>
      </c>
      <c r="X27" s="35" t="e">
        <f>bdrate($D27:$D30,G27:G30,$L27:$L30,O27:O30)</f>
        <v>#VALUE!</v>
      </c>
      <c r="Y27" s="33" t="e">
        <f>bdrateOld($D27:$D30,E27:E30,$L27:$L30,M27:M30)</f>
        <v>#VALUE!</v>
      </c>
      <c r="Z27" s="34" t="e">
        <f>bdrateOld($D27:$D30,F27:F30,$L27:$L30,N27:N30)</f>
        <v>#VALUE!</v>
      </c>
      <c r="AA27" s="35" t="e">
        <f>bdrateOld($D27:$D30,G27:G30,$L27:$L30,O27:O30)</f>
        <v>#VALUE!</v>
      </c>
    </row>
    <row r="28" spans="1:27" x14ac:dyDescent="0.25">
      <c r="A28" s="13"/>
      <c r="B28" s="14"/>
      <c r="C28" s="13">
        <v>48</v>
      </c>
      <c r="D28" s="15">
        <f>Reference!B170</f>
        <v>0</v>
      </c>
      <c r="E28" s="16">
        <f>Reference!C170</f>
        <v>0</v>
      </c>
      <c r="F28" s="16">
        <f>Reference!D170</f>
        <v>0</v>
      </c>
      <c r="G28" s="16">
        <f>Reference!E170</f>
        <v>0</v>
      </c>
      <c r="H28" s="16">
        <f>Reference!F170</f>
        <v>0</v>
      </c>
      <c r="I28" s="16">
        <f>Reference!G170</f>
        <v>0</v>
      </c>
      <c r="J28" s="28">
        <f t="shared" ref="J28:J47" si="8">H28/3600</f>
        <v>0</v>
      </c>
      <c r="L28" s="15">
        <f>Test!B170</f>
        <v>0</v>
      </c>
      <c r="M28" s="16">
        <f>Test!C170</f>
        <v>0</v>
      </c>
      <c r="N28" s="16">
        <f>Test!D170</f>
        <v>0</v>
      </c>
      <c r="O28" s="16">
        <f>Test!E170</f>
        <v>0</v>
      </c>
      <c r="P28" s="16">
        <f>Test!F170</f>
        <v>0</v>
      </c>
      <c r="Q28" s="16">
        <f>Test!G170</f>
        <v>0</v>
      </c>
      <c r="R28" s="28">
        <f t="shared" ref="R28:R47" si="9">P28/3600</f>
        <v>0</v>
      </c>
      <c r="S28" s="15" t="e">
        <f t="shared" si="7"/>
        <v>#DIV/0!</v>
      </c>
      <c r="T28" s="16" t="e">
        <f t="shared" si="7"/>
        <v>#DIV/0!</v>
      </c>
      <c r="U28" s="36"/>
      <c r="V28" s="37"/>
      <c r="W28" s="38"/>
      <c r="X28" s="39"/>
      <c r="Y28" s="37"/>
      <c r="Z28" s="38"/>
      <c r="AA28" s="39"/>
    </row>
    <row r="29" spans="1:27" x14ac:dyDescent="0.25">
      <c r="A29" s="13"/>
      <c r="B29" s="14"/>
      <c r="C29" s="13">
        <v>54</v>
      </c>
      <c r="D29" s="15">
        <f>Reference!B171</f>
        <v>0</v>
      </c>
      <c r="E29" s="16">
        <f>Reference!C171</f>
        <v>0</v>
      </c>
      <c r="F29" s="16">
        <f>Reference!D171</f>
        <v>0</v>
      </c>
      <c r="G29" s="16">
        <f>Reference!E171</f>
        <v>0</v>
      </c>
      <c r="H29" s="16">
        <f>Reference!F171</f>
        <v>0</v>
      </c>
      <c r="I29" s="16">
        <f>Reference!G171</f>
        <v>0</v>
      </c>
      <c r="J29" s="28">
        <f t="shared" si="8"/>
        <v>0</v>
      </c>
      <c r="L29" s="15">
        <f>Test!B171</f>
        <v>0</v>
      </c>
      <c r="M29" s="16">
        <f>Test!C171</f>
        <v>0</v>
      </c>
      <c r="N29" s="16">
        <f>Test!D171</f>
        <v>0</v>
      </c>
      <c r="O29" s="16">
        <f>Test!E171</f>
        <v>0</v>
      </c>
      <c r="P29" s="16">
        <f>Test!F171</f>
        <v>0</v>
      </c>
      <c r="Q29" s="16">
        <f>Test!G171</f>
        <v>0</v>
      </c>
      <c r="R29" s="28">
        <f t="shared" si="9"/>
        <v>0</v>
      </c>
      <c r="S29" s="15" t="e">
        <f t="shared" si="7"/>
        <v>#DIV/0!</v>
      </c>
      <c r="T29" s="16" t="e">
        <f t="shared" si="7"/>
        <v>#DIV/0!</v>
      </c>
      <c r="U29" s="36"/>
      <c r="V29" s="37"/>
      <c r="W29" s="38"/>
      <c r="X29" s="39"/>
      <c r="Y29" s="37"/>
      <c r="Z29" s="38"/>
      <c r="AA29" s="39"/>
    </row>
    <row r="30" spans="1:27" ht="12" thickBot="1" x14ac:dyDescent="0.3">
      <c r="A30" s="13"/>
      <c r="B30" s="17"/>
      <c r="C30" s="18">
        <v>61</v>
      </c>
      <c r="D30" s="19">
        <f>Reference!B172</f>
        <v>0</v>
      </c>
      <c r="E30" s="20">
        <f>Reference!C172</f>
        <v>0</v>
      </c>
      <c r="F30" s="20">
        <f>Reference!D172</f>
        <v>0</v>
      </c>
      <c r="G30" s="20">
        <f>Reference!E172</f>
        <v>0</v>
      </c>
      <c r="H30" s="20">
        <f>Reference!F172</f>
        <v>0</v>
      </c>
      <c r="I30" s="20">
        <f>Reference!G172</f>
        <v>0</v>
      </c>
      <c r="J30" s="29">
        <f t="shared" si="8"/>
        <v>0</v>
      </c>
      <c r="L30" s="19">
        <f>Test!B172</f>
        <v>0</v>
      </c>
      <c r="M30" s="20">
        <f>Test!C172</f>
        <v>0</v>
      </c>
      <c r="N30" s="20">
        <f>Test!D172</f>
        <v>0</v>
      </c>
      <c r="O30" s="20">
        <f>Test!E172</f>
        <v>0</v>
      </c>
      <c r="P30" s="20">
        <f>Test!F172</f>
        <v>0</v>
      </c>
      <c r="Q30" s="20">
        <f>Test!G172</f>
        <v>0</v>
      </c>
      <c r="R30" s="29">
        <f t="shared" si="9"/>
        <v>0</v>
      </c>
      <c r="S30" s="15" t="e">
        <f t="shared" si="7"/>
        <v>#DIV/0!</v>
      </c>
      <c r="T30" s="16" t="e">
        <f t="shared" si="7"/>
        <v>#DIV/0!</v>
      </c>
      <c r="U30" s="36"/>
      <c r="V30" s="40"/>
      <c r="W30" s="41"/>
      <c r="X30" s="42"/>
      <c r="Y30" s="40"/>
      <c r="Z30" s="41"/>
      <c r="AA30" s="42"/>
    </row>
    <row r="31" spans="1:27" x14ac:dyDescent="0.25">
      <c r="A31" s="13"/>
      <c r="B31" s="6" t="s">
        <v>48</v>
      </c>
      <c r="C31" s="10">
        <v>43</v>
      </c>
      <c r="D31" s="11">
        <f>Reference!B173</f>
        <v>0</v>
      </c>
      <c r="E31" s="12">
        <f>Reference!C173</f>
        <v>0</v>
      </c>
      <c r="F31" s="12">
        <f>Reference!D173</f>
        <v>0</v>
      </c>
      <c r="G31" s="12">
        <f>Reference!E173</f>
        <v>0</v>
      </c>
      <c r="H31" s="12">
        <f>Reference!F173</f>
        <v>0</v>
      </c>
      <c r="I31" s="12">
        <f>Reference!G173</f>
        <v>0</v>
      </c>
      <c r="J31" s="27">
        <f t="shared" si="8"/>
        <v>0</v>
      </c>
      <c r="L31" s="11">
        <f>Test!B173</f>
        <v>0</v>
      </c>
      <c r="M31" s="12">
        <f>Test!C173</f>
        <v>0</v>
      </c>
      <c r="N31" s="12">
        <f>Test!D173</f>
        <v>0</v>
      </c>
      <c r="O31" s="12">
        <f>Test!E173</f>
        <v>0</v>
      </c>
      <c r="P31" s="12">
        <f>Test!F173</f>
        <v>0</v>
      </c>
      <c r="Q31" s="12">
        <f>Test!G173</f>
        <v>0</v>
      </c>
      <c r="R31" s="27">
        <f t="shared" si="9"/>
        <v>0</v>
      </c>
      <c r="S31" s="15" t="e">
        <f t="shared" si="7"/>
        <v>#DIV/0!</v>
      </c>
      <c r="T31" s="16" t="e">
        <f t="shared" si="7"/>
        <v>#DIV/0!</v>
      </c>
      <c r="U31" s="36"/>
      <c r="V31" s="33" t="e">
        <f>bdrate($D31:$D34,E31:E34,$L31:$L34,M31:M34)</f>
        <v>#VALUE!</v>
      </c>
      <c r="W31" s="34" t="e">
        <f>bdrate($D31:$D34,F31:F34,$L31:$L34,N31:N34)</f>
        <v>#VALUE!</v>
      </c>
      <c r="X31" s="34" t="e">
        <f>bdrate($D31:$D34,G31:G34,$L31:$L34,O31:O34)</f>
        <v>#VALUE!</v>
      </c>
      <c r="Y31" s="44" t="e">
        <f>bdrateOld($D31:$D34,E31:E34,$L31:$L34,M31:M34)</f>
        <v>#VALUE!</v>
      </c>
      <c r="Z31" s="45" t="e">
        <f>bdrateOld($D31:$D34,F31:F34,$L31:$L34,N31:N34)</f>
        <v>#VALUE!</v>
      </c>
      <c r="AA31" s="46" t="e">
        <f>bdrateOld($D31:$D34,G31:G34,$L31:$L34,O31:O34)</f>
        <v>#VALUE!</v>
      </c>
    </row>
    <row r="32" spans="1:27" x14ac:dyDescent="0.25">
      <c r="A32" s="13"/>
      <c r="B32" s="14"/>
      <c r="C32" s="13">
        <v>48</v>
      </c>
      <c r="D32" s="15">
        <f>Reference!B174</f>
        <v>0</v>
      </c>
      <c r="E32" s="16">
        <f>Reference!C174</f>
        <v>0</v>
      </c>
      <c r="F32" s="16">
        <f>Reference!D174</f>
        <v>0</v>
      </c>
      <c r="G32" s="16">
        <f>Reference!E174</f>
        <v>0</v>
      </c>
      <c r="H32" s="16">
        <f>Reference!F174</f>
        <v>0</v>
      </c>
      <c r="I32" s="16">
        <f>Reference!G174</f>
        <v>0</v>
      </c>
      <c r="J32" s="28">
        <f t="shared" si="8"/>
        <v>0</v>
      </c>
      <c r="L32" s="15">
        <f>Test!B174</f>
        <v>0</v>
      </c>
      <c r="M32" s="16">
        <f>Test!C174</f>
        <v>0</v>
      </c>
      <c r="N32" s="16">
        <f>Test!D174</f>
        <v>0</v>
      </c>
      <c r="O32" s="16">
        <f>Test!E174</f>
        <v>0</v>
      </c>
      <c r="P32" s="16">
        <f>Test!F174</f>
        <v>0</v>
      </c>
      <c r="Q32" s="16">
        <f>Test!G174</f>
        <v>0</v>
      </c>
      <c r="R32" s="28">
        <f t="shared" si="9"/>
        <v>0</v>
      </c>
      <c r="S32" s="15" t="e">
        <f t="shared" si="7"/>
        <v>#DIV/0!</v>
      </c>
      <c r="T32" s="16" t="e">
        <f t="shared" si="7"/>
        <v>#DIV/0!</v>
      </c>
      <c r="U32" s="36"/>
      <c r="V32" s="37"/>
      <c r="W32" s="38"/>
      <c r="X32" s="38"/>
      <c r="Y32" s="37"/>
      <c r="Z32" s="38"/>
      <c r="AA32" s="39"/>
    </row>
    <row r="33" spans="1:27" x14ac:dyDescent="0.25">
      <c r="A33" s="13"/>
      <c r="B33" s="14"/>
      <c r="C33" s="13">
        <v>54</v>
      </c>
      <c r="D33" s="15">
        <f>Reference!B175</f>
        <v>0</v>
      </c>
      <c r="E33" s="16">
        <f>Reference!C175</f>
        <v>0</v>
      </c>
      <c r="F33" s="16">
        <f>Reference!D175</f>
        <v>0</v>
      </c>
      <c r="G33" s="16">
        <f>Reference!E175</f>
        <v>0</v>
      </c>
      <c r="H33" s="16">
        <f>Reference!F175</f>
        <v>0</v>
      </c>
      <c r="I33" s="16">
        <f>Reference!G175</f>
        <v>0</v>
      </c>
      <c r="J33" s="28">
        <f t="shared" si="8"/>
        <v>0</v>
      </c>
      <c r="L33" s="15">
        <f>Test!B175</f>
        <v>0</v>
      </c>
      <c r="M33" s="16">
        <f>Test!C175</f>
        <v>0</v>
      </c>
      <c r="N33" s="16">
        <f>Test!D175</f>
        <v>0</v>
      </c>
      <c r="O33" s="16">
        <f>Test!E175</f>
        <v>0</v>
      </c>
      <c r="P33" s="16">
        <f>Test!F175</f>
        <v>0</v>
      </c>
      <c r="Q33" s="16">
        <f>Test!G175</f>
        <v>0</v>
      </c>
      <c r="R33" s="28">
        <f t="shared" si="9"/>
        <v>0</v>
      </c>
      <c r="S33" s="15" t="e">
        <f t="shared" si="7"/>
        <v>#DIV/0!</v>
      </c>
      <c r="T33" s="16" t="e">
        <f t="shared" si="7"/>
        <v>#DIV/0!</v>
      </c>
      <c r="U33" s="36"/>
      <c r="V33" s="37"/>
      <c r="W33" s="38"/>
      <c r="X33" s="38"/>
      <c r="Y33" s="37"/>
      <c r="Z33" s="38"/>
      <c r="AA33" s="39"/>
    </row>
    <row r="34" spans="1:27" ht="12" thickBot="1" x14ac:dyDescent="0.3">
      <c r="A34" s="13"/>
      <c r="B34" s="17"/>
      <c r="C34" s="18">
        <v>61</v>
      </c>
      <c r="D34" s="19">
        <f>Reference!B176</f>
        <v>0</v>
      </c>
      <c r="E34" s="20">
        <f>Reference!C176</f>
        <v>0</v>
      </c>
      <c r="F34" s="20">
        <f>Reference!D176</f>
        <v>0</v>
      </c>
      <c r="G34" s="20">
        <f>Reference!E176</f>
        <v>0</v>
      </c>
      <c r="H34" s="20">
        <f>Reference!F176</f>
        <v>0</v>
      </c>
      <c r="I34" s="20">
        <f>Reference!G176</f>
        <v>0</v>
      </c>
      <c r="J34" s="29">
        <f t="shared" si="8"/>
        <v>0</v>
      </c>
      <c r="L34" s="19">
        <f>Test!B176</f>
        <v>0</v>
      </c>
      <c r="M34" s="20">
        <f>Test!C176</f>
        <v>0</v>
      </c>
      <c r="N34" s="20">
        <f>Test!D176</f>
        <v>0</v>
      </c>
      <c r="O34" s="20">
        <f>Test!E176</f>
        <v>0</v>
      </c>
      <c r="P34" s="20">
        <f>Test!F176</f>
        <v>0</v>
      </c>
      <c r="Q34" s="20">
        <f>Test!G176</f>
        <v>0</v>
      </c>
      <c r="R34" s="29">
        <f t="shared" si="9"/>
        <v>0</v>
      </c>
      <c r="S34" s="15" t="e">
        <f t="shared" si="7"/>
        <v>#DIV/0!</v>
      </c>
      <c r="T34" s="16" t="e">
        <f t="shared" si="7"/>
        <v>#DIV/0!</v>
      </c>
      <c r="U34" s="36"/>
      <c r="V34" s="40"/>
      <c r="W34" s="41"/>
      <c r="X34" s="41"/>
      <c r="Y34" s="40"/>
      <c r="Z34" s="41"/>
      <c r="AA34" s="42"/>
    </row>
    <row r="35" spans="1:27" ht="12" x14ac:dyDescent="0.25">
      <c r="A35" s="9" t="s">
        <v>9</v>
      </c>
      <c r="B35" s="6" t="s">
        <v>49</v>
      </c>
      <c r="C35" s="10">
        <v>27</v>
      </c>
      <c r="D35" s="11">
        <f>Reference!B177</f>
        <v>0</v>
      </c>
      <c r="E35" s="12">
        <f>Reference!C177</f>
        <v>0</v>
      </c>
      <c r="F35" s="12">
        <f>Reference!D177</f>
        <v>0</v>
      </c>
      <c r="G35" s="12">
        <f>Reference!E177</f>
        <v>0</v>
      </c>
      <c r="H35" s="12">
        <f>Reference!F177</f>
        <v>0</v>
      </c>
      <c r="I35" s="12">
        <f>Reference!G177</f>
        <v>0</v>
      </c>
      <c r="J35" s="27">
        <f t="shared" si="8"/>
        <v>0</v>
      </c>
      <c r="L35" s="11">
        <f>Test!B177</f>
        <v>0</v>
      </c>
      <c r="M35" s="12">
        <f>Test!C177</f>
        <v>0</v>
      </c>
      <c r="N35" s="12">
        <f>Test!D177</f>
        <v>0</v>
      </c>
      <c r="O35" s="12">
        <f>Test!E177</f>
        <v>0</v>
      </c>
      <c r="P35" s="12">
        <f>Test!F177</f>
        <v>0</v>
      </c>
      <c r="Q35" s="12">
        <f>Test!G177</f>
        <v>0</v>
      </c>
      <c r="R35" s="27">
        <f t="shared" si="9"/>
        <v>0</v>
      </c>
      <c r="S35" s="11" t="e">
        <f t="shared" si="7"/>
        <v>#DIV/0!</v>
      </c>
      <c r="T35" s="12" t="e">
        <f t="shared" si="7"/>
        <v>#DIV/0!</v>
      </c>
      <c r="U35" s="32"/>
      <c r="V35" s="33" t="e">
        <f>bdrate($D35:$D38,E35:E38,$L35:$L38,M35:M38)</f>
        <v>#VALUE!</v>
      </c>
      <c r="W35" s="34" t="e">
        <f>bdrate($D35:$D38,F35:F38,$L35:$L38,N35:N38)</f>
        <v>#VALUE!</v>
      </c>
      <c r="X35" s="34" t="e">
        <f>bdrate($D35:$D38,G35:G38,$L35:$L38,O35:O38)</f>
        <v>#VALUE!</v>
      </c>
      <c r="Y35" s="44" t="e">
        <f>bdrateOld($D35:$D38,E35:E38,$L35:$L38,M35:M38)</f>
        <v>#VALUE!</v>
      </c>
      <c r="Z35" s="45" t="e">
        <f>bdrateOld($D35:$D38,F35:F38,$L35:$L38,N35:N38)</f>
        <v>#VALUE!</v>
      </c>
      <c r="AA35" s="46" t="e">
        <f>bdrateOld($D35:$D38,G35:G38,$L35:$L38,O35:O38)</f>
        <v>#VALUE!</v>
      </c>
    </row>
    <row r="36" spans="1:27" x14ac:dyDescent="0.25">
      <c r="A36" s="13" t="s">
        <v>74</v>
      </c>
      <c r="B36" s="14"/>
      <c r="C36" s="13">
        <v>32</v>
      </c>
      <c r="D36" s="15">
        <f>Reference!B178</f>
        <v>0</v>
      </c>
      <c r="E36" s="16">
        <f>Reference!C178</f>
        <v>0</v>
      </c>
      <c r="F36" s="16">
        <f>Reference!D178</f>
        <v>0</v>
      </c>
      <c r="G36" s="16">
        <f>Reference!E178</f>
        <v>0</v>
      </c>
      <c r="H36" s="16">
        <f>Reference!F178</f>
        <v>0</v>
      </c>
      <c r="I36" s="16">
        <f>Reference!G178</f>
        <v>0</v>
      </c>
      <c r="J36" s="28">
        <f t="shared" si="8"/>
        <v>0</v>
      </c>
      <c r="L36" s="15">
        <f>Test!B178</f>
        <v>0</v>
      </c>
      <c r="M36" s="16">
        <f>Test!C178</f>
        <v>0</v>
      </c>
      <c r="N36" s="16">
        <f>Test!D178</f>
        <v>0</v>
      </c>
      <c r="O36" s="16">
        <f>Test!E178</f>
        <v>0</v>
      </c>
      <c r="P36" s="16">
        <f>Test!F178</f>
        <v>0</v>
      </c>
      <c r="Q36" s="16">
        <f>Test!G178</f>
        <v>0</v>
      </c>
      <c r="R36" s="28">
        <f t="shared" si="9"/>
        <v>0</v>
      </c>
      <c r="S36" s="15" t="e">
        <f t="shared" si="7"/>
        <v>#DIV/0!</v>
      </c>
      <c r="T36" s="16" t="e">
        <f t="shared" si="7"/>
        <v>#DIV/0!</v>
      </c>
      <c r="U36" s="36"/>
      <c r="V36" s="37"/>
      <c r="W36" s="38"/>
      <c r="X36" s="38"/>
      <c r="Y36" s="37"/>
      <c r="Z36" s="38"/>
      <c r="AA36" s="39"/>
    </row>
    <row r="37" spans="1:27" x14ac:dyDescent="0.25">
      <c r="A37" s="13"/>
      <c r="B37" s="14"/>
      <c r="C37" s="13">
        <v>38</v>
      </c>
      <c r="D37" s="15">
        <f>Reference!B179</f>
        <v>0</v>
      </c>
      <c r="E37" s="16">
        <f>Reference!C179</f>
        <v>0</v>
      </c>
      <c r="F37" s="16">
        <f>Reference!D179</f>
        <v>0</v>
      </c>
      <c r="G37" s="16">
        <f>Reference!E179</f>
        <v>0</v>
      </c>
      <c r="H37" s="16">
        <f>Reference!F179</f>
        <v>0</v>
      </c>
      <c r="I37" s="16">
        <f>Reference!G179</f>
        <v>0</v>
      </c>
      <c r="J37" s="28">
        <f t="shared" si="8"/>
        <v>0</v>
      </c>
      <c r="L37" s="15">
        <f>Test!B179</f>
        <v>0</v>
      </c>
      <c r="M37" s="16">
        <f>Test!C179</f>
        <v>0</v>
      </c>
      <c r="N37" s="16">
        <f>Test!D179</f>
        <v>0</v>
      </c>
      <c r="O37" s="16">
        <f>Test!E179</f>
        <v>0</v>
      </c>
      <c r="P37" s="16">
        <f>Test!F179</f>
        <v>0</v>
      </c>
      <c r="Q37" s="16">
        <f>Test!G179</f>
        <v>0</v>
      </c>
      <c r="R37" s="28">
        <f t="shared" si="9"/>
        <v>0</v>
      </c>
      <c r="S37" s="15" t="e">
        <f t="shared" si="7"/>
        <v>#DIV/0!</v>
      </c>
      <c r="T37" s="16" t="e">
        <f t="shared" si="7"/>
        <v>#DIV/0!</v>
      </c>
      <c r="U37" s="36"/>
      <c r="V37" s="37"/>
      <c r="W37" s="38"/>
      <c r="X37" s="38"/>
      <c r="Y37" s="37"/>
      <c r="Z37" s="38"/>
      <c r="AA37" s="39"/>
    </row>
    <row r="38" spans="1:27" ht="12" thickBot="1" x14ac:dyDescent="0.3">
      <c r="A38" s="13"/>
      <c r="B38" s="17"/>
      <c r="C38" s="18">
        <v>45</v>
      </c>
      <c r="D38" s="19">
        <f>Reference!B180</f>
        <v>0</v>
      </c>
      <c r="E38" s="20">
        <f>Reference!C180</f>
        <v>0</v>
      </c>
      <c r="F38" s="20">
        <f>Reference!D180</f>
        <v>0</v>
      </c>
      <c r="G38" s="20">
        <f>Reference!E180</f>
        <v>0</v>
      </c>
      <c r="H38" s="20">
        <f>Reference!F180</f>
        <v>0</v>
      </c>
      <c r="I38" s="20">
        <f>Reference!G180</f>
        <v>0</v>
      </c>
      <c r="J38" s="29">
        <f t="shared" si="8"/>
        <v>0</v>
      </c>
      <c r="L38" s="19">
        <f>Test!B180</f>
        <v>0</v>
      </c>
      <c r="M38" s="20">
        <f>Test!C180</f>
        <v>0</v>
      </c>
      <c r="N38" s="20">
        <f>Test!D180</f>
        <v>0</v>
      </c>
      <c r="O38" s="20">
        <f>Test!E180</f>
        <v>0</v>
      </c>
      <c r="P38" s="20">
        <f>Test!F180</f>
        <v>0</v>
      </c>
      <c r="Q38" s="20">
        <f>Test!G180</f>
        <v>0</v>
      </c>
      <c r="R38" s="29">
        <f t="shared" si="9"/>
        <v>0</v>
      </c>
      <c r="S38" s="15" t="e">
        <f t="shared" si="7"/>
        <v>#DIV/0!</v>
      </c>
      <c r="T38" s="16" t="e">
        <f t="shared" si="7"/>
        <v>#DIV/0!</v>
      </c>
      <c r="U38" s="36"/>
      <c r="V38" s="40"/>
      <c r="W38" s="41"/>
      <c r="X38" s="41"/>
      <c r="Y38" s="40"/>
      <c r="Z38" s="41"/>
      <c r="AA38" s="42"/>
    </row>
    <row r="39" spans="1:27" x14ac:dyDescent="0.25">
      <c r="A39" s="13"/>
      <c r="B39" s="6" t="s">
        <v>54</v>
      </c>
      <c r="C39" s="10">
        <v>27</v>
      </c>
      <c r="D39" s="11">
        <f>Reference!B181</f>
        <v>0</v>
      </c>
      <c r="E39" s="12">
        <f>Reference!C181</f>
        <v>0</v>
      </c>
      <c r="F39" s="12">
        <f>Reference!D181</f>
        <v>0</v>
      </c>
      <c r="G39" s="12">
        <f>Reference!E181</f>
        <v>0</v>
      </c>
      <c r="H39" s="12">
        <f>Reference!F181</f>
        <v>0</v>
      </c>
      <c r="I39" s="12">
        <f>Reference!G181</f>
        <v>0</v>
      </c>
      <c r="J39" s="27">
        <f t="shared" si="8"/>
        <v>0</v>
      </c>
      <c r="L39" s="11">
        <f>Test!B181</f>
        <v>0</v>
      </c>
      <c r="M39" s="12">
        <f>Test!C181</f>
        <v>0</v>
      </c>
      <c r="N39" s="12">
        <f>Test!D181</f>
        <v>0</v>
      </c>
      <c r="O39" s="12">
        <f>Test!E181</f>
        <v>0</v>
      </c>
      <c r="P39" s="12">
        <f>Test!F181</f>
        <v>0</v>
      </c>
      <c r="Q39" s="12">
        <f>Test!G181</f>
        <v>0</v>
      </c>
      <c r="R39" s="27">
        <f t="shared" si="9"/>
        <v>0</v>
      </c>
      <c r="S39" s="15" t="e">
        <f t="shared" si="7"/>
        <v>#DIV/0!</v>
      </c>
      <c r="T39" s="16" t="e">
        <f t="shared" si="7"/>
        <v>#DIV/0!</v>
      </c>
      <c r="U39" s="36"/>
      <c r="V39" s="33" t="e">
        <f>bdrate($D39:$D42,E39:E42,$L39:$L42,M39:M42)</f>
        <v>#VALUE!</v>
      </c>
      <c r="W39" s="34" t="e">
        <f>bdrate($D39:$D42,F39:F42,$L39:$L42,N39:N42)</f>
        <v>#VALUE!</v>
      </c>
      <c r="X39" s="34" t="e">
        <f>bdrate($D39:$D42,G39:G42,$L39:$L42,O39:O42)</f>
        <v>#VALUE!</v>
      </c>
      <c r="Y39" s="44" t="e">
        <f>bdrateOld($D39:$D42,E39:E42,$L39:$L42,M39:M42)</f>
        <v>#VALUE!</v>
      </c>
      <c r="Z39" s="45" t="e">
        <f>bdrateOld($D39:$D42,F39:F42,$L39:$L42,N39:N42)</f>
        <v>#VALUE!</v>
      </c>
      <c r="AA39" s="46" t="e">
        <f>bdrateOld($D39:$D42,G39:G42,$L39:$L42,O39:O42)</f>
        <v>#VALUE!</v>
      </c>
    </row>
    <row r="40" spans="1:27" x14ac:dyDescent="0.25">
      <c r="A40" s="13"/>
      <c r="B40" s="14"/>
      <c r="C40" s="13">
        <v>32</v>
      </c>
      <c r="D40" s="15">
        <f>Reference!B182</f>
        <v>0</v>
      </c>
      <c r="E40" s="16">
        <f>Reference!C182</f>
        <v>0</v>
      </c>
      <c r="F40" s="16">
        <f>Reference!D182</f>
        <v>0</v>
      </c>
      <c r="G40" s="16">
        <f>Reference!E182</f>
        <v>0</v>
      </c>
      <c r="H40" s="16">
        <f>Reference!F182</f>
        <v>0</v>
      </c>
      <c r="I40" s="16">
        <f>Reference!G182</f>
        <v>0</v>
      </c>
      <c r="J40" s="28">
        <f t="shared" si="8"/>
        <v>0</v>
      </c>
      <c r="L40" s="15">
        <f>Test!B182</f>
        <v>0</v>
      </c>
      <c r="M40" s="16">
        <f>Test!C182</f>
        <v>0</v>
      </c>
      <c r="N40" s="16">
        <f>Test!D182</f>
        <v>0</v>
      </c>
      <c r="O40" s="16">
        <f>Test!E182</f>
        <v>0</v>
      </c>
      <c r="P40" s="16">
        <f>Test!F182</f>
        <v>0</v>
      </c>
      <c r="Q40" s="16">
        <f>Test!G182</f>
        <v>0</v>
      </c>
      <c r="R40" s="28">
        <f t="shared" si="9"/>
        <v>0</v>
      </c>
      <c r="S40" s="15" t="e">
        <f t="shared" si="7"/>
        <v>#DIV/0!</v>
      </c>
      <c r="T40" s="16" t="e">
        <f t="shared" si="7"/>
        <v>#DIV/0!</v>
      </c>
      <c r="U40" s="36"/>
      <c r="V40" s="37"/>
      <c r="W40" s="38"/>
      <c r="X40" s="38"/>
      <c r="Y40" s="37"/>
      <c r="Z40" s="38"/>
      <c r="AA40" s="39"/>
    </row>
    <row r="41" spans="1:27" x14ac:dyDescent="0.25">
      <c r="A41" s="13"/>
      <c r="B41" s="14"/>
      <c r="C41" s="13">
        <v>38</v>
      </c>
      <c r="D41" s="15">
        <f>Reference!B183</f>
        <v>0</v>
      </c>
      <c r="E41" s="16">
        <f>Reference!C183</f>
        <v>0</v>
      </c>
      <c r="F41" s="16">
        <f>Reference!D183</f>
        <v>0</v>
      </c>
      <c r="G41" s="16">
        <f>Reference!E183</f>
        <v>0</v>
      </c>
      <c r="H41" s="16">
        <f>Reference!F183</f>
        <v>0</v>
      </c>
      <c r="I41" s="16">
        <f>Reference!G183</f>
        <v>0</v>
      </c>
      <c r="J41" s="28">
        <f t="shared" si="8"/>
        <v>0</v>
      </c>
      <c r="L41" s="15">
        <f>Test!B183</f>
        <v>0</v>
      </c>
      <c r="M41" s="16">
        <f>Test!C183</f>
        <v>0</v>
      </c>
      <c r="N41" s="16">
        <f>Test!D183</f>
        <v>0</v>
      </c>
      <c r="O41" s="16">
        <f>Test!E183</f>
        <v>0</v>
      </c>
      <c r="P41" s="16">
        <f>Test!F183</f>
        <v>0</v>
      </c>
      <c r="Q41" s="16">
        <f>Test!G183</f>
        <v>0</v>
      </c>
      <c r="R41" s="28">
        <f t="shared" si="9"/>
        <v>0</v>
      </c>
      <c r="S41" s="15" t="e">
        <f t="shared" si="7"/>
        <v>#DIV/0!</v>
      </c>
      <c r="T41" s="16" t="e">
        <f t="shared" si="7"/>
        <v>#DIV/0!</v>
      </c>
      <c r="U41" s="36"/>
      <c r="V41" s="37"/>
      <c r="W41" s="38"/>
      <c r="X41" s="38"/>
      <c r="Y41" s="37"/>
      <c r="Z41" s="38"/>
      <c r="AA41" s="39"/>
    </row>
    <row r="42" spans="1:27" ht="12" thickBot="1" x14ac:dyDescent="0.3">
      <c r="A42" s="13"/>
      <c r="B42" s="17"/>
      <c r="C42" s="18">
        <v>45</v>
      </c>
      <c r="D42" s="19">
        <f>Reference!B184</f>
        <v>0</v>
      </c>
      <c r="E42" s="20">
        <f>Reference!C184</f>
        <v>0</v>
      </c>
      <c r="F42" s="20">
        <f>Reference!D184</f>
        <v>0</v>
      </c>
      <c r="G42" s="20">
        <f>Reference!E184</f>
        <v>0</v>
      </c>
      <c r="H42" s="20">
        <f>Reference!F184</f>
        <v>0</v>
      </c>
      <c r="I42" s="20">
        <f>Reference!G184</f>
        <v>0</v>
      </c>
      <c r="J42" s="29">
        <f t="shared" si="8"/>
        <v>0</v>
      </c>
      <c r="L42" s="19">
        <f>Test!B184</f>
        <v>0</v>
      </c>
      <c r="M42" s="20">
        <f>Test!C184</f>
        <v>0</v>
      </c>
      <c r="N42" s="20">
        <f>Test!D184</f>
        <v>0</v>
      </c>
      <c r="O42" s="20">
        <f>Test!E184</f>
        <v>0</v>
      </c>
      <c r="P42" s="20">
        <f>Test!F184</f>
        <v>0</v>
      </c>
      <c r="Q42" s="20">
        <f>Test!G184</f>
        <v>0</v>
      </c>
      <c r="R42" s="29">
        <f t="shared" si="9"/>
        <v>0</v>
      </c>
      <c r="S42" s="15" t="e">
        <f t="shared" si="7"/>
        <v>#DIV/0!</v>
      </c>
      <c r="T42" s="16" t="e">
        <f t="shared" si="7"/>
        <v>#DIV/0!</v>
      </c>
      <c r="U42" s="36"/>
      <c r="V42" s="40"/>
      <c r="W42" s="41"/>
      <c r="X42" s="41"/>
      <c r="Y42" s="40"/>
      <c r="Z42" s="41"/>
      <c r="AA42" s="42"/>
    </row>
    <row r="43" spans="1:27" ht="12.5" x14ac:dyDescent="0.25">
      <c r="A43" s="13"/>
      <c r="B43" s="6" t="s">
        <v>75</v>
      </c>
      <c r="C43" s="10">
        <v>27</v>
      </c>
      <c r="D43" s="12">
        <v>1042.1904</v>
      </c>
      <c r="E43" s="12">
        <v>42.787599999999998</v>
      </c>
      <c r="F43" s="12">
        <v>46.183799999999998</v>
      </c>
      <c r="G43" s="12">
        <v>46.989699999999999</v>
      </c>
      <c r="H43" s="12">
        <v>19536.266</v>
      </c>
      <c r="I43" s="12">
        <f>Reference!G185</f>
        <v>0</v>
      </c>
      <c r="J43" s="27">
        <f t="shared" si="8"/>
        <v>5.426740555555555</v>
      </c>
      <c r="L43" s="204">
        <v>1035.6672000000001</v>
      </c>
      <c r="M43" s="204">
        <v>42.770299999999999</v>
      </c>
      <c r="N43" s="204">
        <v>46.152299999999997</v>
      </c>
      <c r="O43" s="204">
        <v>46.960999999999999</v>
      </c>
      <c r="P43" s="204">
        <v>16174.450999999999</v>
      </c>
      <c r="Q43" s="12">
        <f>Test!G185</f>
        <v>0</v>
      </c>
      <c r="R43" s="27">
        <f t="shared" si="9"/>
        <v>4.4929030555555549</v>
      </c>
      <c r="S43" s="15">
        <f t="shared" si="7"/>
        <v>0.82791926563653462</v>
      </c>
      <c r="T43" s="16" t="e">
        <f t="shared" si="7"/>
        <v>#DIV/0!</v>
      </c>
      <c r="U43" s="36"/>
      <c r="V43" s="33">
        <f>bdrate($D43:$D46,E43:E46,$L43:$L46,M43:M46)</f>
        <v>-3.087583411997441E-3</v>
      </c>
      <c r="W43" s="34">
        <f>bdrate($D43:$D46,F43:F46,$L43:$L46,N43:N46)</f>
        <v>-1.0697452162239385E-3</v>
      </c>
      <c r="X43" s="34">
        <f>bdrate($D43:$D46,G43:G46,$L43:$L46,O43:O46)</f>
        <v>-1.7542778127445091E-3</v>
      </c>
      <c r="Y43" s="44">
        <f>bdrateOld($D43:$D46,E43:E46,$L43:$L46,M43:M46)</f>
        <v>-3.4444569540473813E-3</v>
      </c>
      <c r="Z43" s="45">
        <f>bdrateOld($D43:$D46,F43:F46,$L43:$L46,N43:N46)</f>
        <v>-1.569129977107675E-3</v>
      </c>
      <c r="AA43" s="46">
        <f>bdrateOld($D43:$D46,G43:G46,$L43:$L46,O43:O46)</f>
        <v>-2.9773518307365521E-3</v>
      </c>
    </row>
    <row r="44" spans="1:27" ht="12.5" x14ac:dyDescent="0.25">
      <c r="A44" s="13"/>
      <c r="B44" s="14"/>
      <c r="C44" s="13">
        <v>32</v>
      </c>
      <c r="D44" s="16">
        <v>536.75519999999995</v>
      </c>
      <c r="E44" s="16">
        <v>41.2376</v>
      </c>
      <c r="F44" s="16">
        <v>45.369300000000003</v>
      </c>
      <c r="G44" s="16">
        <v>45.945399999999999</v>
      </c>
      <c r="H44" s="16">
        <v>9772.9680000000008</v>
      </c>
      <c r="I44" s="16">
        <f>Reference!G186</f>
        <v>0</v>
      </c>
      <c r="J44" s="28">
        <f t="shared" si="8"/>
        <v>2.7147133333333335</v>
      </c>
      <c r="L44" s="204">
        <v>535.2912</v>
      </c>
      <c r="M44" s="204">
        <v>41.230899999999998</v>
      </c>
      <c r="N44" s="204">
        <v>45.3521</v>
      </c>
      <c r="O44" s="204">
        <v>45.921300000000002</v>
      </c>
      <c r="P44" s="204">
        <v>9244.4860000000008</v>
      </c>
      <c r="Q44" s="16">
        <f>Test!G186</f>
        <v>0</v>
      </c>
      <c r="R44" s="28">
        <f t="shared" si="9"/>
        <v>2.5679127777777779</v>
      </c>
      <c r="S44" s="15">
        <f t="shared" si="7"/>
        <v>0.9459241041206724</v>
      </c>
      <c r="T44" s="16" t="e">
        <f t="shared" si="7"/>
        <v>#DIV/0!</v>
      </c>
      <c r="U44" s="36"/>
      <c r="V44" s="37"/>
      <c r="W44" s="38"/>
      <c r="X44" s="38"/>
      <c r="Y44" s="37"/>
      <c r="Z44" s="38"/>
      <c r="AA44" s="39"/>
    </row>
    <row r="45" spans="1:27" ht="12.5" x14ac:dyDescent="0.25">
      <c r="A45" s="13"/>
      <c r="B45" s="14"/>
      <c r="C45" s="13">
        <v>38</v>
      </c>
      <c r="D45" s="15">
        <v>289.2912</v>
      </c>
      <c r="E45" s="15">
        <v>39.198900000000002</v>
      </c>
      <c r="F45" s="16">
        <v>44.119700000000002</v>
      </c>
      <c r="G45" s="16">
        <v>44.530999999999999</v>
      </c>
      <c r="H45" s="16">
        <v>6522.7910000000002</v>
      </c>
      <c r="I45" s="16">
        <f>Reference!G187</f>
        <v>0</v>
      </c>
      <c r="J45" s="28">
        <f t="shared" si="8"/>
        <v>1.811886388888889</v>
      </c>
      <c r="L45" s="204">
        <v>287.95679999999999</v>
      </c>
      <c r="M45" s="204">
        <v>39.208199999999998</v>
      </c>
      <c r="N45" s="204">
        <v>44.130299999999998</v>
      </c>
      <c r="O45" s="204">
        <v>44.549100000000003</v>
      </c>
      <c r="P45" s="204">
        <v>5947.4</v>
      </c>
      <c r="Q45" s="16">
        <f>Test!G187</f>
        <v>0</v>
      </c>
      <c r="R45" s="28">
        <f t="shared" si="9"/>
        <v>1.6520555555555554</v>
      </c>
      <c r="S45" s="15">
        <f t="shared" si="7"/>
        <v>0.91178760748274768</v>
      </c>
      <c r="T45" s="16" t="e">
        <f t="shared" si="7"/>
        <v>#DIV/0!</v>
      </c>
      <c r="U45" s="36"/>
      <c r="V45" s="37"/>
      <c r="W45" s="38"/>
      <c r="X45" s="38"/>
      <c r="Y45" s="37"/>
      <c r="Z45" s="38"/>
      <c r="AA45" s="39"/>
    </row>
    <row r="46" spans="1:27" ht="13" thickBot="1" x14ac:dyDescent="0.3">
      <c r="A46" s="13"/>
      <c r="B46" s="17"/>
      <c r="C46" s="18">
        <v>45</v>
      </c>
      <c r="D46" s="19">
        <v>157.5984</v>
      </c>
      <c r="E46" s="19">
        <v>36.504300000000001</v>
      </c>
      <c r="F46" s="20">
        <v>42.260300000000001</v>
      </c>
      <c r="G46" s="20">
        <v>42.633499999999998</v>
      </c>
      <c r="H46" s="20">
        <v>3153.8240000000001</v>
      </c>
      <c r="I46" s="20">
        <f>Reference!G188</f>
        <v>0</v>
      </c>
      <c r="J46" s="29">
        <f t="shared" si="8"/>
        <v>0.87606222222222219</v>
      </c>
      <c r="L46" s="204">
        <v>157.584</v>
      </c>
      <c r="M46" s="204">
        <v>36.502200000000002</v>
      </c>
      <c r="N46" s="204">
        <v>42.267400000000002</v>
      </c>
      <c r="O46" s="204">
        <v>42.643300000000004</v>
      </c>
      <c r="P46" s="204">
        <v>3071.0889999999999</v>
      </c>
      <c r="Q46" s="20">
        <f>Test!G188</f>
        <v>0</v>
      </c>
      <c r="R46" s="29">
        <f t="shared" si="9"/>
        <v>0.85308027777777773</v>
      </c>
      <c r="S46" s="15">
        <f t="shared" si="7"/>
        <v>0.97376676694704578</v>
      </c>
      <c r="T46" s="16" t="e">
        <f t="shared" si="7"/>
        <v>#DIV/0!</v>
      </c>
      <c r="U46" s="36"/>
      <c r="V46" s="40"/>
      <c r="W46" s="41"/>
      <c r="X46" s="41"/>
      <c r="Y46" s="40"/>
      <c r="Z46" s="41"/>
      <c r="AA46" s="42"/>
    </row>
    <row r="47" spans="1:27" ht="12.5" x14ac:dyDescent="0.25">
      <c r="A47" s="13"/>
      <c r="B47" s="6" t="s">
        <v>76</v>
      </c>
      <c r="C47" s="10">
        <v>27</v>
      </c>
      <c r="D47" s="204">
        <v>1547.9903999999999</v>
      </c>
      <c r="E47" s="204">
        <v>42.316800000000001</v>
      </c>
      <c r="F47" s="204">
        <v>47.658200000000001</v>
      </c>
      <c r="G47" s="204">
        <v>47.010100000000001</v>
      </c>
      <c r="H47" s="204">
        <v>22062.353999999999</v>
      </c>
      <c r="I47" s="12">
        <f>Reference!G189</f>
        <v>0</v>
      </c>
      <c r="J47" s="27">
        <f t="shared" si="8"/>
        <v>6.1284316666666667</v>
      </c>
      <c r="L47" s="204">
        <v>1534.5744</v>
      </c>
      <c r="M47" s="204">
        <v>42.299900000000001</v>
      </c>
      <c r="N47" s="204">
        <v>47.648899999999998</v>
      </c>
      <c r="O47" s="204">
        <v>47.010300000000001</v>
      </c>
      <c r="P47" s="204">
        <v>18789.421999999999</v>
      </c>
      <c r="Q47" s="12">
        <f>Test!G189</f>
        <v>0</v>
      </c>
      <c r="R47" s="27">
        <f t="shared" si="9"/>
        <v>5.2192838888888886</v>
      </c>
      <c r="S47" s="15">
        <f t="shared" ref="S47:T62" si="10">P47/H47</f>
        <v>0.85165082565532213</v>
      </c>
      <c r="T47" s="16" t="e">
        <f t="shared" si="10"/>
        <v>#DIV/0!</v>
      </c>
      <c r="U47" s="36"/>
      <c r="V47" s="33">
        <f>bdrate($D47:$D50,E47:E50,$L47:$L50,M47:M50)</f>
        <v>-3.9342623637943497E-3</v>
      </c>
      <c r="W47" s="34">
        <f>bdrate($D47:$D50,F47:F50,$L47:$L50,N47:N50)</f>
        <v>-8.5823317902602447E-3</v>
      </c>
      <c r="X47" s="35">
        <f>bdrate($D47:$D50,G47:G50,$L47:$L50,O47:O50)</f>
        <v>-7.2735280181459583E-3</v>
      </c>
      <c r="Y47" s="33">
        <f>bdrateOld($D47:$D50,E47:E50,$L47:$L50,M47:M50)</f>
        <v>-4.0183768104385953E-3</v>
      </c>
      <c r="Z47" s="34">
        <f>bdrateOld($D47:$D50,F47:F50,$L47:$L50,N47:N50)</f>
        <v>-6.3845008453907726E-3</v>
      </c>
      <c r="AA47" s="35">
        <f>bdrateOld($D47:$D50,G47:G50,$L47:$L50,O47:O50)</f>
        <v>-8.0667308359735346E-3</v>
      </c>
    </row>
    <row r="48" spans="1:27" ht="12.5" x14ac:dyDescent="0.25">
      <c r="A48" s="13"/>
      <c r="B48" s="14"/>
      <c r="C48" s="13">
        <v>32</v>
      </c>
      <c r="D48" s="204">
        <v>781.56479999999999</v>
      </c>
      <c r="E48" s="204">
        <v>40.659500000000001</v>
      </c>
      <c r="F48" s="204">
        <v>46.860799999999998</v>
      </c>
      <c r="G48" s="204">
        <v>45.902000000000001</v>
      </c>
      <c r="H48" s="204">
        <v>10583.481</v>
      </c>
      <c r="I48" s="16">
        <f>Reference!G190</f>
        <v>0</v>
      </c>
      <c r="J48" s="28">
        <f t="shared" ref="J48:J71" si="11">H48/3600</f>
        <v>2.9398558333333331</v>
      </c>
      <c r="L48" s="204">
        <v>775.7808</v>
      </c>
      <c r="M48" s="204">
        <v>40.6449</v>
      </c>
      <c r="N48" s="204">
        <v>46.882800000000003</v>
      </c>
      <c r="O48" s="204">
        <v>45.889299999999999</v>
      </c>
      <c r="P48" s="204">
        <v>9767.2720000000008</v>
      </c>
      <c r="Q48" s="16">
        <f>Test!G190</f>
        <v>0</v>
      </c>
      <c r="R48" s="28">
        <f t="shared" ref="R48:R71" si="12">P48/3600</f>
        <v>2.7131311111111112</v>
      </c>
      <c r="S48" s="15">
        <f t="shared" si="10"/>
        <v>0.92287896581474482</v>
      </c>
      <c r="T48" s="16" t="e">
        <f t="shared" si="10"/>
        <v>#DIV/0!</v>
      </c>
      <c r="U48" s="36"/>
      <c r="V48" s="37"/>
      <c r="W48" s="38"/>
      <c r="X48" s="39"/>
      <c r="Y48" s="37"/>
      <c r="Z48" s="38"/>
      <c r="AA48" s="39"/>
    </row>
    <row r="49" spans="1:27" ht="12.5" x14ac:dyDescent="0.25">
      <c r="A49" s="13"/>
      <c r="B49" s="14"/>
      <c r="C49" s="13">
        <v>38</v>
      </c>
      <c r="D49" s="204">
        <v>420.77760000000001</v>
      </c>
      <c r="E49" s="204">
        <v>38.440600000000003</v>
      </c>
      <c r="F49" s="204">
        <v>45.717100000000002</v>
      </c>
      <c r="G49" s="204">
        <v>44.253799999999998</v>
      </c>
      <c r="H49" s="204">
        <v>6378.1170000000002</v>
      </c>
      <c r="I49" s="16">
        <f>Reference!G191</f>
        <v>0</v>
      </c>
      <c r="J49" s="28">
        <f t="shared" si="11"/>
        <v>1.7716991666666668</v>
      </c>
      <c r="L49" s="204">
        <v>418.92</v>
      </c>
      <c r="M49" s="204">
        <v>38.444000000000003</v>
      </c>
      <c r="N49" s="204">
        <v>45.7288</v>
      </c>
      <c r="O49" s="204">
        <v>44.272799999999997</v>
      </c>
      <c r="P49" s="204">
        <v>6124.6</v>
      </c>
      <c r="Q49" s="16">
        <f>Test!G191</f>
        <v>0</v>
      </c>
      <c r="R49" s="28">
        <f t="shared" si="12"/>
        <v>1.7012777777777779</v>
      </c>
      <c r="S49" s="15">
        <f t="shared" si="10"/>
        <v>0.96025206185461953</v>
      </c>
      <c r="T49" s="16" t="e">
        <f t="shared" si="10"/>
        <v>#DIV/0!</v>
      </c>
      <c r="U49" s="36"/>
      <c r="V49" s="37"/>
      <c r="W49" s="38"/>
      <c r="X49" s="39"/>
      <c r="Y49" s="37"/>
      <c r="Z49" s="38"/>
      <c r="AA49" s="39"/>
    </row>
    <row r="50" spans="1:27" ht="13" thickBot="1" x14ac:dyDescent="0.3">
      <c r="A50" s="18"/>
      <c r="B50" s="17"/>
      <c r="C50" s="18">
        <v>45</v>
      </c>
      <c r="D50" s="204">
        <v>229.54079999999999</v>
      </c>
      <c r="E50" s="204">
        <v>35.477699999999999</v>
      </c>
      <c r="F50" s="204">
        <v>44.349400000000003</v>
      </c>
      <c r="G50" s="204">
        <v>42.084000000000003</v>
      </c>
      <c r="H50" s="204">
        <v>4565.3230000000003</v>
      </c>
      <c r="I50" s="20">
        <f>Reference!G192</f>
        <v>0</v>
      </c>
      <c r="J50" s="29">
        <f t="shared" si="11"/>
        <v>1.268145277777778</v>
      </c>
      <c r="L50" s="204">
        <v>228.58080000000001</v>
      </c>
      <c r="M50" s="204">
        <v>35.480499999999999</v>
      </c>
      <c r="N50" s="204">
        <v>44.293799999999997</v>
      </c>
      <c r="O50" s="204">
        <v>42.096499999999999</v>
      </c>
      <c r="P50" s="204">
        <v>4619.6940000000004</v>
      </c>
      <c r="Q50" s="20">
        <f>Test!G192</f>
        <v>0</v>
      </c>
      <c r="R50" s="29">
        <f t="shared" si="12"/>
        <v>1.2832483333333335</v>
      </c>
      <c r="S50" s="19">
        <f t="shared" si="10"/>
        <v>1.0119095625873569</v>
      </c>
      <c r="T50" s="20" t="e">
        <f t="shared" si="10"/>
        <v>#DIV/0!</v>
      </c>
      <c r="U50" s="43"/>
      <c r="V50" s="40"/>
      <c r="W50" s="41"/>
      <c r="X50" s="42"/>
      <c r="Y50" s="40"/>
      <c r="Z50" s="41"/>
      <c r="AA50" s="42"/>
    </row>
    <row r="51" spans="1:27" ht="12.5" x14ac:dyDescent="0.25">
      <c r="A51" s="10" t="s">
        <v>91</v>
      </c>
      <c r="B51" s="10" t="s">
        <v>92</v>
      </c>
      <c r="C51" s="10">
        <v>43</v>
      </c>
      <c r="D51" s="204">
        <v>1625.3136</v>
      </c>
      <c r="E51" s="204">
        <v>41.777700000000003</v>
      </c>
      <c r="F51" s="204">
        <v>47.593600000000002</v>
      </c>
      <c r="G51" s="204">
        <v>47.751800000000003</v>
      </c>
      <c r="H51" s="204">
        <v>24013.776999999998</v>
      </c>
      <c r="I51" s="12">
        <f>Reference!G193</f>
        <v>0</v>
      </c>
      <c r="J51" s="27">
        <f t="shared" si="11"/>
        <v>6.6704936111111106</v>
      </c>
      <c r="L51" s="204">
        <v>1603.8335999999999</v>
      </c>
      <c r="M51" s="204">
        <v>41.767499999999998</v>
      </c>
      <c r="N51" s="204">
        <v>47.570399999999999</v>
      </c>
      <c r="O51" s="204">
        <v>47.739800000000002</v>
      </c>
      <c r="P51" s="204">
        <v>20360.759999999998</v>
      </c>
      <c r="Q51" s="12">
        <f>Test!G193</f>
        <v>0</v>
      </c>
      <c r="R51" s="27">
        <f t="shared" si="12"/>
        <v>5.6557666666666666</v>
      </c>
      <c r="S51" s="11">
        <f t="shared" si="10"/>
        <v>0.8478782825375617</v>
      </c>
      <c r="T51" s="12" t="e">
        <f t="shared" si="10"/>
        <v>#DIV/0!</v>
      </c>
      <c r="U51" s="32"/>
      <c r="V51" s="33">
        <f>bdrate($D51:$D54,E51:E54,$L51:$L54,M51:M54)</f>
        <v>-1.1745918961546753E-2</v>
      </c>
      <c r="W51" s="34">
        <f>bdrate($D51:$D54,F51:F54,$L51:$L54,N51:N54)</f>
        <v>-1.0741823012477614E-2</v>
      </c>
      <c r="X51" s="34">
        <f>bdrate($D51:$D54,G51:G54,$L51:$L54,O51:O54)</f>
        <v>-3.1308211464322389E-2</v>
      </c>
      <c r="Y51" s="44">
        <f>bdrateOld($D51:$D54,E51:E54,$L51:$L54,M51:M54)</f>
        <v>-1.2216493504911496E-2</v>
      </c>
      <c r="Z51" s="45">
        <f>bdrateOld($D51:$D54,F51:F54,$L51:$L54,N51:N54)</f>
        <v>-1.1712831942538693E-2</v>
      </c>
      <c r="AA51" s="46">
        <f>bdrateOld($D51:$D54,G51:G54,$L51:$L54,O51:O54)</f>
        <v>-3.0561681307697874E-2</v>
      </c>
    </row>
    <row r="52" spans="1:27" ht="12.5" x14ac:dyDescent="0.25">
      <c r="A52" s="13"/>
      <c r="B52" s="13"/>
      <c r="C52" s="13">
        <v>48</v>
      </c>
      <c r="D52" s="204">
        <v>778.21439999999996</v>
      </c>
      <c r="E52" s="204">
        <v>40.244300000000003</v>
      </c>
      <c r="F52" s="204">
        <v>46.503799999999998</v>
      </c>
      <c r="G52" s="204">
        <v>46.670699999999997</v>
      </c>
      <c r="H52" s="204">
        <v>12208.017</v>
      </c>
      <c r="I52" s="16">
        <f>Reference!G194</f>
        <v>0</v>
      </c>
      <c r="J52" s="28">
        <f t="shared" si="11"/>
        <v>3.3911158333333331</v>
      </c>
      <c r="L52" s="204">
        <v>769.06560000000002</v>
      </c>
      <c r="M52" s="204">
        <v>40.233400000000003</v>
      </c>
      <c r="N52" s="204">
        <v>46.4758</v>
      </c>
      <c r="O52" s="204">
        <v>46.703699999999998</v>
      </c>
      <c r="P52" s="204">
        <v>11846.59</v>
      </c>
      <c r="Q52" s="16">
        <f>Test!G194</f>
        <v>0</v>
      </c>
      <c r="R52" s="28">
        <f t="shared" si="12"/>
        <v>3.2907194444444445</v>
      </c>
      <c r="S52" s="15">
        <f t="shared" si="10"/>
        <v>0.97039429089916895</v>
      </c>
      <c r="T52" s="16" t="e">
        <f t="shared" si="10"/>
        <v>#DIV/0!</v>
      </c>
      <c r="U52" s="36"/>
      <c r="V52" s="37"/>
      <c r="W52" s="38"/>
      <c r="X52" s="38"/>
      <c r="Y52" s="37"/>
      <c r="Z52" s="38"/>
      <c r="AA52" s="39"/>
    </row>
    <row r="53" spans="1:27" ht="12.5" x14ac:dyDescent="0.25">
      <c r="A53" s="13"/>
      <c r="B53" s="13"/>
      <c r="C53" s="13">
        <v>54</v>
      </c>
      <c r="D53" s="204">
        <v>393.76799999999997</v>
      </c>
      <c r="E53" s="204">
        <v>38.285499999999999</v>
      </c>
      <c r="F53" s="204">
        <v>44.930900000000001</v>
      </c>
      <c r="G53" s="204">
        <v>45.116700000000002</v>
      </c>
      <c r="H53" s="204">
        <v>7991.933</v>
      </c>
      <c r="I53" s="16">
        <f>Reference!G195</f>
        <v>0</v>
      </c>
      <c r="J53" s="28">
        <f t="shared" si="11"/>
        <v>2.2199813888888889</v>
      </c>
      <c r="L53" s="204">
        <v>386.89920000000001</v>
      </c>
      <c r="M53" s="204">
        <v>38.277500000000003</v>
      </c>
      <c r="N53" s="204">
        <v>44.928100000000001</v>
      </c>
      <c r="O53" s="204">
        <v>45.173699999999997</v>
      </c>
      <c r="P53" s="204">
        <v>7853.2190000000001</v>
      </c>
      <c r="Q53" s="16">
        <f>Test!G195</f>
        <v>0</v>
      </c>
      <c r="R53" s="28">
        <f t="shared" si="12"/>
        <v>2.1814497222222222</v>
      </c>
      <c r="S53" s="15">
        <f t="shared" si="10"/>
        <v>0.98264324788508617</v>
      </c>
      <c r="T53" s="16" t="e">
        <f t="shared" si="10"/>
        <v>#DIV/0!</v>
      </c>
      <c r="U53" s="36"/>
      <c r="V53" s="37"/>
      <c r="W53" s="38"/>
      <c r="X53" s="38"/>
      <c r="Y53" s="37"/>
      <c r="Z53" s="38"/>
      <c r="AA53" s="39"/>
    </row>
    <row r="54" spans="1:27" ht="13" thickBot="1" x14ac:dyDescent="0.3">
      <c r="A54" s="13"/>
      <c r="B54" s="18"/>
      <c r="C54" s="18">
        <v>61</v>
      </c>
      <c r="D54" s="204">
        <v>203.67359999999999</v>
      </c>
      <c r="E54" s="204">
        <v>35.741399999999999</v>
      </c>
      <c r="F54" s="204">
        <v>43.185299999999998</v>
      </c>
      <c r="G54" s="204">
        <v>43.05</v>
      </c>
      <c r="H54" s="204">
        <v>4543.2430000000004</v>
      </c>
      <c r="I54" s="20">
        <f>Reference!G196</f>
        <v>0</v>
      </c>
      <c r="J54" s="29">
        <f t="shared" si="11"/>
        <v>1.2620119444444446</v>
      </c>
      <c r="L54" s="204">
        <v>201.18719999999999</v>
      </c>
      <c r="M54" s="204">
        <v>35.744500000000002</v>
      </c>
      <c r="N54" s="204">
        <v>43.246400000000001</v>
      </c>
      <c r="O54" s="204">
        <v>43.103499999999997</v>
      </c>
      <c r="P54" s="204">
        <v>4587.3770000000004</v>
      </c>
      <c r="Q54" s="20">
        <f>Test!G196</f>
        <v>0</v>
      </c>
      <c r="R54" s="29">
        <f t="shared" si="12"/>
        <v>1.274271388888889</v>
      </c>
      <c r="S54" s="15">
        <f t="shared" si="10"/>
        <v>1.0097142063499576</v>
      </c>
      <c r="T54" s="16" t="e">
        <f t="shared" si="10"/>
        <v>#DIV/0!</v>
      </c>
      <c r="U54" s="36"/>
      <c r="V54" s="40"/>
      <c r="W54" s="41"/>
      <c r="X54" s="41"/>
      <c r="Y54" s="40"/>
      <c r="Z54" s="41"/>
      <c r="AA54" s="42"/>
    </row>
    <row r="55" spans="1:27" x14ac:dyDescent="0.25">
      <c r="A55" s="13"/>
      <c r="B55" s="10" t="s">
        <v>58</v>
      </c>
      <c r="C55" s="10">
        <v>43</v>
      </c>
      <c r="D55" s="11">
        <f>Reference!B197</f>
        <v>0</v>
      </c>
      <c r="E55" s="12">
        <f>Reference!C197</f>
        <v>0</v>
      </c>
      <c r="F55" s="12">
        <f>Reference!D197</f>
        <v>0</v>
      </c>
      <c r="G55" s="12">
        <f>Reference!E197</f>
        <v>0</v>
      </c>
      <c r="H55" s="12">
        <f>Reference!F197</f>
        <v>0</v>
      </c>
      <c r="I55" s="12">
        <f>Reference!G197</f>
        <v>0</v>
      </c>
      <c r="J55" s="27">
        <f t="shared" si="11"/>
        <v>0</v>
      </c>
      <c r="L55" s="11">
        <f>Test!B197</f>
        <v>0</v>
      </c>
      <c r="M55" s="12">
        <f>Test!C197</f>
        <v>0</v>
      </c>
      <c r="N55" s="12">
        <f>Test!D197</f>
        <v>0</v>
      </c>
      <c r="O55" s="12">
        <f>Test!E197</f>
        <v>0</v>
      </c>
      <c r="P55" s="12">
        <f>Test!F197</f>
        <v>0</v>
      </c>
      <c r="Q55" s="12">
        <f>Test!G197</f>
        <v>0</v>
      </c>
      <c r="R55" s="27">
        <f t="shared" si="12"/>
        <v>0</v>
      </c>
      <c r="S55" s="15" t="e">
        <f t="shared" si="10"/>
        <v>#DIV/0!</v>
      </c>
      <c r="T55" s="16" t="e">
        <f t="shared" si="10"/>
        <v>#DIV/0!</v>
      </c>
      <c r="U55" s="36"/>
      <c r="V55" s="33" t="e">
        <f>bdrate($D55:$D58,E55:E58,$L55:$L58,M55:M58)</f>
        <v>#VALUE!</v>
      </c>
      <c r="W55" s="34" t="e">
        <f>bdrate($D55:$D58,F55:F58,$L55:$L58,N55:N58)</f>
        <v>#VALUE!</v>
      </c>
      <c r="X55" s="34" t="e">
        <f>bdrate($D55:$D58,G55:G58,$L55:$L58,O55:O58)</f>
        <v>#VALUE!</v>
      </c>
      <c r="Y55" s="44" t="e">
        <f>bdrateOld($D55:$D58,E55:E58,$L55:$L58,M55:M58)</f>
        <v>#VALUE!</v>
      </c>
      <c r="Z55" s="45" t="e">
        <f>bdrateOld($D55:$D58,F55:F58,$L55:$L58,N55:N58)</f>
        <v>#VALUE!</v>
      </c>
      <c r="AA55" s="46" t="e">
        <f>bdrateOld($D55:$D58,G55:G58,$L55:$L58,O55:O58)</f>
        <v>#VALUE!</v>
      </c>
    </row>
    <row r="56" spans="1:27" x14ac:dyDescent="0.25">
      <c r="A56" s="13"/>
      <c r="B56" s="13"/>
      <c r="C56" s="13">
        <v>48</v>
      </c>
      <c r="D56" s="15">
        <f>Reference!B198</f>
        <v>0</v>
      </c>
      <c r="E56" s="16">
        <f>Reference!C198</f>
        <v>0</v>
      </c>
      <c r="F56" s="16">
        <f>Reference!D198</f>
        <v>0</v>
      </c>
      <c r="G56" s="16">
        <f>Reference!E198</f>
        <v>0</v>
      </c>
      <c r="H56" s="16">
        <f>Reference!F198</f>
        <v>0</v>
      </c>
      <c r="I56" s="16">
        <f>Reference!G198</f>
        <v>0</v>
      </c>
      <c r="J56" s="28">
        <f t="shared" si="11"/>
        <v>0</v>
      </c>
      <c r="L56" s="15">
        <f>Test!B198</f>
        <v>0</v>
      </c>
      <c r="M56" s="16">
        <f>Test!C198</f>
        <v>0</v>
      </c>
      <c r="N56" s="16">
        <f>Test!D198</f>
        <v>0</v>
      </c>
      <c r="O56" s="16">
        <f>Test!E198</f>
        <v>0</v>
      </c>
      <c r="P56" s="16">
        <f>Test!F198</f>
        <v>0</v>
      </c>
      <c r="Q56" s="16">
        <f>Test!G198</f>
        <v>0</v>
      </c>
      <c r="R56" s="28">
        <f t="shared" si="12"/>
        <v>0</v>
      </c>
      <c r="S56" s="15" t="e">
        <f t="shared" si="10"/>
        <v>#DIV/0!</v>
      </c>
      <c r="T56" s="16" t="e">
        <f t="shared" si="10"/>
        <v>#DIV/0!</v>
      </c>
      <c r="U56" s="36"/>
      <c r="V56" s="37"/>
      <c r="W56" s="38"/>
      <c r="X56" s="38"/>
      <c r="Y56" s="37"/>
      <c r="Z56" s="38"/>
      <c r="AA56" s="39"/>
    </row>
    <row r="57" spans="1:27" x14ac:dyDescent="0.25">
      <c r="A57" s="13"/>
      <c r="B57" s="13"/>
      <c r="C57" s="13">
        <v>54</v>
      </c>
      <c r="D57" s="15">
        <f>Reference!B199</f>
        <v>0</v>
      </c>
      <c r="E57" s="16">
        <f>Reference!C199</f>
        <v>0</v>
      </c>
      <c r="F57" s="16">
        <f>Reference!D199</f>
        <v>0</v>
      </c>
      <c r="G57" s="16">
        <f>Reference!E199</f>
        <v>0</v>
      </c>
      <c r="H57" s="16">
        <f>Reference!F199</f>
        <v>0</v>
      </c>
      <c r="I57" s="16">
        <f>Reference!G199</f>
        <v>0</v>
      </c>
      <c r="J57" s="28">
        <f t="shared" si="11"/>
        <v>0</v>
      </c>
      <c r="L57" s="15">
        <f>Test!B199</f>
        <v>0</v>
      </c>
      <c r="M57" s="16">
        <f>Test!C199</f>
        <v>0</v>
      </c>
      <c r="N57" s="16">
        <f>Test!D199</f>
        <v>0</v>
      </c>
      <c r="O57" s="16">
        <f>Test!E199</f>
        <v>0</v>
      </c>
      <c r="P57" s="16">
        <f>Test!F199</f>
        <v>0</v>
      </c>
      <c r="Q57" s="16">
        <f>Test!G199</f>
        <v>0</v>
      </c>
      <c r="R57" s="28">
        <f t="shared" si="12"/>
        <v>0</v>
      </c>
      <c r="S57" s="15" t="e">
        <f t="shared" si="10"/>
        <v>#DIV/0!</v>
      </c>
      <c r="T57" s="16" t="e">
        <f t="shared" si="10"/>
        <v>#DIV/0!</v>
      </c>
      <c r="U57" s="36"/>
      <c r="V57" s="37"/>
      <c r="W57" s="38"/>
      <c r="X57" s="38"/>
      <c r="Y57" s="37"/>
      <c r="Z57" s="38"/>
      <c r="AA57" s="39"/>
    </row>
    <row r="58" spans="1:27" ht="12" thickBot="1" x14ac:dyDescent="0.3">
      <c r="A58" s="18"/>
      <c r="B58" s="18"/>
      <c r="C58" s="18">
        <v>61</v>
      </c>
      <c r="D58" s="19">
        <f>Reference!B200</f>
        <v>0</v>
      </c>
      <c r="E58" s="20">
        <f>Reference!C200</f>
        <v>0</v>
      </c>
      <c r="F58" s="20">
        <f>Reference!D200</f>
        <v>0</v>
      </c>
      <c r="G58" s="20">
        <f>Reference!E200</f>
        <v>0</v>
      </c>
      <c r="H58" s="20">
        <f>Reference!F200</f>
        <v>0</v>
      </c>
      <c r="I58" s="20">
        <f>Reference!G200</f>
        <v>0</v>
      </c>
      <c r="J58" s="29">
        <f t="shared" si="11"/>
        <v>0</v>
      </c>
      <c r="L58" s="19">
        <f>Test!B200</f>
        <v>0</v>
      </c>
      <c r="M58" s="20">
        <f>Test!C200</f>
        <v>0</v>
      </c>
      <c r="N58" s="20">
        <f>Test!D200</f>
        <v>0</v>
      </c>
      <c r="O58" s="20">
        <f>Test!E200</f>
        <v>0</v>
      </c>
      <c r="P58" s="20">
        <f>Test!F200</f>
        <v>0</v>
      </c>
      <c r="Q58" s="20">
        <f>Test!G200</f>
        <v>0</v>
      </c>
      <c r="R58" s="29">
        <f t="shared" si="12"/>
        <v>0</v>
      </c>
      <c r="S58" s="19" t="e">
        <f t="shared" si="10"/>
        <v>#DIV/0!</v>
      </c>
      <c r="T58" s="20" t="e">
        <f t="shared" si="10"/>
        <v>#DIV/0!</v>
      </c>
      <c r="U58" s="43"/>
      <c r="V58" s="40"/>
      <c r="W58" s="41"/>
      <c r="X58" s="41"/>
      <c r="Y58" s="40"/>
      <c r="Z58" s="41"/>
      <c r="AA58" s="42"/>
    </row>
    <row r="59" spans="1:27" ht="12.5" x14ac:dyDescent="0.25">
      <c r="A59" s="13" t="s">
        <v>93</v>
      </c>
      <c r="B59" s="6" t="s">
        <v>94</v>
      </c>
      <c r="C59" s="10">
        <v>27</v>
      </c>
      <c r="D59" s="204">
        <v>1280.0735999999999</v>
      </c>
      <c r="E59" s="204">
        <v>41.8932</v>
      </c>
      <c r="F59" s="204">
        <v>45.702800000000003</v>
      </c>
      <c r="G59" s="204">
        <v>46.9452</v>
      </c>
      <c r="H59" s="204">
        <v>18154.787</v>
      </c>
      <c r="I59" s="12">
        <f>Reference!G201</f>
        <v>0</v>
      </c>
      <c r="J59" s="27">
        <f t="shared" si="11"/>
        <v>5.0429963888888887</v>
      </c>
      <c r="L59" s="204">
        <v>1273.8432</v>
      </c>
      <c r="M59" s="204">
        <v>41.875500000000002</v>
      </c>
      <c r="N59" s="204">
        <v>45.700099999999999</v>
      </c>
      <c r="O59" s="204">
        <v>46.948500000000003</v>
      </c>
      <c r="P59" s="204">
        <v>16471.953000000001</v>
      </c>
      <c r="Q59" s="12">
        <f>Test!G201</f>
        <v>0</v>
      </c>
      <c r="R59" s="27">
        <f t="shared" si="12"/>
        <v>4.5755425000000001</v>
      </c>
      <c r="S59" s="11">
        <f t="shared" si="10"/>
        <v>0.907306320916902</v>
      </c>
      <c r="T59" s="12" t="e">
        <f t="shared" si="10"/>
        <v>#DIV/0!</v>
      </c>
      <c r="U59" s="32"/>
      <c r="V59" s="33">
        <f>bdrate($D59:$D62,E59:E62,$L59:$L62,M59:M62)</f>
        <v>-6.1786718771580373E-3</v>
      </c>
      <c r="W59" s="34">
        <f>bdrate($D59:$D62,F59:F62,$L59:$L62,N59:N62)</f>
        <v>-6.1514638772585117E-3</v>
      </c>
      <c r="X59" s="34">
        <f>bdrate($D59:$D62,G59:G62,$L59:$L62,O59:O62)</f>
        <v>1.7087985181341026E-4</v>
      </c>
      <c r="Y59" s="44">
        <f>bdrateOld($D59:$D62,E59:E62,$L59:$L62,M59:M62)</f>
        <v>-6.2755234232610979E-3</v>
      </c>
      <c r="Z59" s="45">
        <f>bdrateOld($D59:$D62,F59:F62,$L59:$L62,N59:N62)</f>
        <v>-5.6808986382719251E-3</v>
      </c>
      <c r="AA59" s="46">
        <f>bdrateOld($D59:$D62,G59:G62,$L59:$L62,O59:O62)</f>
        <v>-7.6772422982340771E-4</v>
      </c>
    </row>
    <row r="60" spans="1:27" ht="12.5" x14ac:dyDescent="0.25">
      <c r="A60" s="13"/>
      <c r="B60" s="14"/>
      <c r="C60" s="13">
        <v>32</v>
      </c>
      <c r="D60" s="204">
        <v>692.79359999999997</v>
      </c>
      <c r="E60" s="204">
        <v>40.3553</v>
      </c>
      <c r="F60" s="204">
        <v>44.465299999999999</v>
      </c>
      <c r="G60" s="204">
        <v>45.684600000000003</v>
      </c>
      <c r="H60" s="204">
        <v>11156.46</v>
      </c>
      <c r="I60" s="16">
        <f>Reference!G202</f>
        <v>0</v>
      </c>
      <c r="J60" s="28">
        <f t="shared" si="11"/>
        <v>3.0990166666666665</v>
      </c>
      <c r="L60" s="204">
        <v>688.41120000000001</v>
      </c>
      <c r="M60" s="204">
        <v>40.344799999999999</v>
      </c>
      <c r="N60" s="204">
        <v>44.473500000000001</v>
      </c>
      <c r="O60" s="204">
        <v>45.652000000000001</v>
      </c>
      <c r="P60" s="204">
        <v>10473.888999999999</v>
      </c>
      <c r="Q60" s="16">
        <f>Test!G202</f>
        <v>0</v>
      </c>
      <c r="R60" s="28">
        <f t="shared" si="12"/>
        <v>2.9094136111111109</v>
      </c>
      <c r="S60" s="15">
        <f t="shared" si="10"/>
        <v>0.93881831692131734</v>
      </c>
      <c r="T60" s="16" t="e">
        <f t="shared" si="10"/>
        <v>#DIV/0!</v>
      </c>
      <c r="U60" s="36"/>
      <c r="V60" s="37"/>
      <c r="W60" s="38"/>
      <c r="X60" s="38"/>
      <c r="Y60" s="37"/>
      <c r="Z60" s="38"/>
      <c r="AA60" s="39"/>
    </row>
    <row r="61" spans="1:27" ht="12.5" x14ac:dyDescent="0.25">
      <c r="A61" s="13"/>
      <c r="B61" s="14"/>
      <c r="C61" s="13">
        <v>38</v>
      </c>
      <c r="D61" s="204">
        <v>385.50720000000001</v>
      </c>
      <c r="E61" s="204">
        <v>38.183300000000003</v>
      </c>
      <c r="F61" s="204">
        <v>42.860599999999998</v>
      </c>
      <c r="G61" s="204">
        <v>44.056899999999999</v>
      </c>
      <c r="H61" s="204">
        <v>8128.1859999999997</v>
      </c>
      <c r="I61" s="16">
        <f>Reference!G203</f>
        <v>0</v>
      </c>
      <c r="J61" s="28">
        <f t="shared" si="11"/>
        <v>2.2578294444444444</v>
      </c>
      <c r="L61" s="204">
        <v>382.50240000000002</v>
      </c>
      <c r="M61" s="204">
        <v>38.188499999999998</v>
      </c>
      <c r="N61" s="204">
        <v>42.8476</v>
      </c>
      <c r="O61" s="204">
        <v>44.042099999999998</v>
      </c>
      <c r="P61" s="204">
        <v>7828.665</v>
      </c>
      <c r="Q61" s="16">
        <f>Test!G203</f>
        <v>0</v>
      </c>
      <c r="R61" s="28">
        <f t="shared" si="12"/>
        <v>2.1746291666666666</v>
      </c>
      <c r="S61" s="15">
        <f t="shared" si="10"/>
        <v>0.96315032653042143</v>
      </c>
      <c r="T61" s="16" t="e">
        <f t="shared" si="10"/>
        <v>#DIV/0!</v>
      </c>
      <c r="U61" s="36"/>
      <c r="V61" s="37"/>
      <c r="W61" s="38"/>
      <c r="X61" s="38"/>
      <c r="Y61" s="37"/>
      <c r="Z61" s="38"/>
      <c r="AA61" s="39"/>
    </row>
    <row r="62" spans="1:27" ht="13" thickBot="1" x14ac:dyDescent="0.3">
      <c r="A62" s="13"/>
      <c r="B62" s="17"/>
      <c r="C62" s="18">
        <v>45</v>
      </c>
      <c r="D62" s="204">
        <v>211.8432</v>
      </c>
      <c r="E62" s="204">
        <v>35.283099999999997</v>
      </c>
      <c r="F62" s="204">
        <v>40.786999999999999</v>
      </c>
      <c r="G62" s="204">
        <v>41.975499999999997</v>
      </c>
      <c r="H62" s="204">
        <v>4091.5709999999999</v>
      </c>
      <c r="I62" s="20">
        <f>Reference!G204</f>
        <v>0</v>
      </c>
      <c r="J62" s="29">
        <f t="shared" si="11"/>
        <v>1.1365475</v>
      </c>
      <c r="L62" s="204">
        <v>210.32640000000001</v>
      </c>
      <c r="M62" s="204">
        <v>35.289099999999998</v>
      </c>
      <c r="N62" s="204">
        <v>40.791200000000003</v>
      </c>
      <c r="O62" s="204">
        <v>41.947800000000001</v>
      </c>
      <c r="P62" s="204">
        <v>4123.4690000000001</v>
      </c>
      <c r="Q62" s="20">
        <f>Test!G204</f>
        <v>0</v>
      </c>
      <c r="R62" s="29">
        <f t="shared" si="12"/>
        <v>1.1454080555555555</v>
      </c>
      <c r="S62" s="15">
        <f t="shared" si="10"/>
        <v>1.0077960274916409</v>
      </c>
      <c r="T62" s="16" t="e">
        <f t="shared" si="10"/>
        <v>#DIV/0!</v>
      </c>
      <c r="U62" s="36"/>
      <c r="V62" s="40"/>
      <c r="W62" s="41"/>
      <c r="X62" s="41"/>
      <c r="Y62" s="40"/>
      <c r="Z62" s="41"/>
      <c r="AA62" s="42"/>
    </row>
    <row r="63" spans="1:27" ht="12.5" x14ac:dyDescent="0.25">
      <c r="A63" s="13"/>
      <c r="B63" s="6" t="s">
        <v>95</v>
      </c>
      <c r="C63" s="10">
        <v>27</v>
      </c>
      <c r="D63" s="204">
        <v>1002.8496</v>
      </c>
      <c r="E63" s="204">
        <v>42.1479</v>
      </c>
      <c r="F63" s="204">
        <v>47.076500000000003</v>
      </c>
      <c r="G63" s="204">
        <v>47.631300000000003</v>
      </c>
      <c r="H63" s="204">
        <v>20254.891</v>
      </c>
      <c r="I63" s="12">
        <f>Reference!G205</f>
        <v>0</v>
      </c>
      <c r="J63" s="27">
        <f t="shared" si="11"/>
        <v>5.6263586111111108</v>
      </c>
      <c r="L63" s="204">
        <v>993.93119999999999</v>
      </c>
      <c r="M63" s="204">
        <v>42.136499999999998</v>
      </c>
      <c r="N63" s="204">
        <v>47.056899999999999</v>
      </c>
      <c r="O63" s="204">
        <v>47.622900000000001</v>
      </c>
      <c r="P63" s="204">
        <v>16038.022999999999</v>
      </c>
      <c r="Q63" s="12">
        <f>Test!G205</f>
        <v>0</v>
      </c>
      <c r="R63" s="27">
        <f t="shared" si="12"/>
        <v>4.4550063888888891</v>
      </c>
      <c r="S63" s="15">
        <f t="shared" ref="S63:S74" si="13">P63/H63</f>
        <v>0.79180988927563223</v>
      </c>
      <c r="T63" s="16" t="e">
        <f t="shared" ref="T63:T74" si="14">Q63/I63</f>
        <v>#DIV/0!</v>
      </c>
      <c r="U63" s="36"/>
      <c r="V63" s="33">
        <f>bdrate($D63:$D66,E63:E66,$L63:$L66,M63:M66)</f>
        <v>-5.5601012809801675E-3</v>
      </c>
      <c r="W63" s="34">
        <f>bdrate($D63:$D66,F63:F66,$L63:$L66,N63:N66)</f>
        <v>-4.7745022552542205E-3</v>
      </c>
      <c r="X63" s="34">
        <f>bdrate($D63:$D66,G63:G66,$L63:$L66,O63:O66)</f>
        <v>-1.105354004559167E-2</v>
      </c>
      <c r="Y63" s="44">
        <f>bdrateOld($D63:$D66,E63:E66,$L63:$L66,M63:M66)</f>
        <v>-5.2540670020720937E-3</v>
      </c>
      <c r="Z63" s="45">
        <f>bdrateOld($D63:$D66,F63:F66,$L63:$L66,N63:N66)</f>
        <v>-3.4910245337141932E-3</v>
      </c>
      <c r="AA63" s="46">
        <f>bdrateOld($D63:$D66,G63:G66,$L63:$L66,O63:O66)</f>
        <v>-1.3764708436756812E-2</v>
      </c>
    </row>
    <row r="64" spans="1:27" ht="12.5" x14ac:dyDescent="0.25">
      <c r="A64" s="13"/>
      <c r="B64" s="14"/>
      <c r="C64" s="13">
        <v>32</v>
      </c>
      <c r="D64" s="204">
        <v>463.65120000000002</v>
      </c>
      <c r="E64" s="204">
        <v>40.908900000000003</v>
      </c>
      <c r="F64" s="204">
        <v>46.146000000000001</v>
      </c>
      <c r="G64" s="204">
        <v>46.619599999999998</v>
      </c>
      <c r="H64" s="204">
        <v>10382.563</v>
      </c>
      <c r="I64" s="16">
        <f>Reference!G206</f>
        <v>0</v>
      </c>
      <c r="J64" s="28">
        <f t="shared" si="11"/>
        <v>2.8840452777777776</v>
      </c>
      <c r="L64" s="204">
        <v>458.33760000000001</v>
      </c>
      <c r="M64" s="204">
        <v>40.902500000000003</v>
      </c>
      <c r="N64" s="204">
        <v>46.1218</v>
      </c>
      <c r="O64" s="204">
        <v>46.576000000000001</v>
      </c>
      <c r="P64" s="204">
        <v>10491.647999999999</v>
      </c>
      <c r="Q64" s="16">
        <f>Test!G206</f>
        <v>0</v>
      </c>
      <c r="R64" s="28">
        <f t="shared" si="12"/>
        <v>2.9143466666666664</v>
      </c>
      <c r="S64" s="15">
        <f t="shared" si="13"/>
        <v>1.0105065579664674</v>
      </c>
      <c r="T64" s="16" t="e">
        <f t="shared" si="14"/>
        <v>#DIV/0!</v>
      </c>
      <c r="U64" s="36"/>
      <c r="V64" s="37"/>
      <c r="W64" s="38"/>
      <c r="X64" s="38"/>
      <c r="Y64" s="37"/>
      <c r="Z64" s="38"/>
      <c r="AA64" s="39"/>
    </row>
    <row r="65" spans="1:27" ht="12.5" x14ac:dyDescent="0.25">
      <c r="A65" s="13"/>
      <c r="B65" s="14"/>
      <c r="C65" s="13">
        <v>38</v>
      </c>
      <c r="D65" s="204">
        <v>240.1104</v>
      </c>
      <c r="E65" s="204">
        <v>39.197800000000001</v>
      </c>
      <c r="F65" s="204">
        <v>44.582900000000002</v>
      </c>
      <c r="G65" s="204">
        <v>45.117199999999997</v>
      </c>
      <c r="H65" s="204">
        <v>5725.9989999999998</v>
      </c>
      <c r="I65" s="16">
        <f>Reference!G207</f>
        <v>0</v>
      </c>
      <c r="J65" s="28">
        <f t="shared" si="11"/>
        <v>1.5905552777777778</v>
      </c>
      <c r="L65" s="204">
        <v>237.792</v>
      </c>
      <c r="M65" s="204">
        <v>39.189900000000002</v>
      </c>
      <c r="N65" s="204">
        <v>44.605899999999998</v>
      </c>
      <c r="O65" s="204">
        <v>45.183199999999999</v>
      </c>
      <c r="P65" s="204">
        <v>6145.348</v>
      </c>
      <c r="Q65" s="16">
        <f>Test!G207</f>
        <v>0</v>
      </c>
      <c r="R65" s="28">
        <f t="shared" si="12"/>
        <v>1.707041111111111</v>
      </c>
      <c r="S65" s="15">
        <f t="shared" si="13"/>
        <v>1.0732359541103658</v>
      </c>
      <c r="T65" s="16" t="e">
        <f t="shared" si="14"/>
        <v>#DIV/0!</v>
      </c>
      <c r="U65" s="36"/>
      <c r="V65" s="37"/>
      <c r="W65" s="38"/>
      <c r="X65" s="38"/>
      <c r="Y65" s="37"/>
      <c r="Z65" s="38"/>
      <c r="AA65" s="39"/>
    </row>
    <row r="66" spans="1:27" ht="13" thickBot="1" x14ac:dyDescent="0.3">
      <c r="A66" s="13"/>
      <c r="B66" s="17"/>
      <c r="C66" s="18">
        <v>45</v>
      </c>
      <c r="D66" s="204">
        <v>131.304</v>
      </c>
      <c r="E66" s="204">
        <v>36.819899999999997</v>
      </c>
      <c r="F66" s="204">
        <v>42.619399999999999</v>
      </c>
      <c r="G66" s="204">
        <v>43.209699999999998</v>
      </c>
      <c r="H66" s="204">
        <v>2636.2280000000001</v>
      </c>
      <c r="I66" s="20">
        <f>Reference!G208</f>
        <v>0</v>
      </c>
      <c r="J66" s="29">
        <f t="shared" si="11"/>
        <v>0.73228555555555552</v>
      </c>
      <c r="L66" s="204">
        <v>131.03039999999999</v>
      </c>
      <c r="M66" s="204">
        <v>36.8063</v>
      </c>
      <c r="N66" s="204">
        <v>42.552500000000002</v>
      </c>
      <c r="O66" s="204">
        <v>43.164700000000003</v>
      </c>
      <c r="P66" s="204">
        <v>2692.192</v>
      </c>
      <c r="Q66" s="20">
        <f>Test!G208</f>
        <v>0</v>
      </c>
      <c r="R66" s="29">
        <f t="shared" si="12"/>
        <v>0.74783111111111111</v>
      </c>
      <c r="S66" s="15">
        <f t="shared" si="13"/>
        <v>1.0212288163239294</v>
      </c>
      <c r="T66" s="16" t="e">
        <f t="shared" si="14"/>
        <v>#DIV/0!</v>
      </c>
      <c r="U66" s="36"/>
      <c r="V66" s="40"/>
      <c r="W66" s="41"/>
      <c r="X66" s="41"/>
      <c r="Y66" s="40"/>
      <c r="Z66" s="41"/>
      <c r="AA66" s="42"/>
    </row>
    <row r="67" spans="1:27" ht="12.5" x14ac:dyDescent="0.25">
      <c r="A67" s="13"/>
      <c r="B67" s="6" t="s">
        <v>96</v>
      </c>
      <c r="C67" s="10">
        <v>27</v>
      </c>
      <c r="D67" s="204">
        <v>1141.4495999999999</v>
      </c>
      <c r="E67" s="204">
        <v>42.442399999999999</v>
      </c>
      <c r="F67" s="204">
        <v>46.3703</v>
      </c>
      <c r="G67" s="204">
        <v>47.237099999999998</v>
      </c>
      <c r="H67" s="204">
        <v>17487.998</v>
      </c>
      <c r="I67" s="12">
        <f>Reference!G209</f>
        <v>0</v>
      </c>
      <c r="J67" s="27">
        <f t="shared" si="11"/>
        <v>4.8577772222222224</v>
      </c>
      <c r="L67" s="204">
        <v>1135.296</v>
      </c>
      <c r="M67" s="204">
        <v>42.425699999999999</v>
      </c>
      <c r="N67" s="204">
        <v>46.359000000000002</v>
      </c>
      <c r="O67" s="204">
        <v>47.216900000000003</v>
      </c>
      <c r="P67" s="204">
        <v>14991.866</v>
      </c>
      <c r="Q67" s="12">
        <f>Test!G209</f>
        <v>0</v>
      </c>
      <c r="R67" s="27">
        <f t="shared" si="12"/>
        <v>4.1644072222222226</v>
      </c>
      <c r="S67" s="15">
        <f t="shared" si="13"/>
        <v>0.85726599465530595</v>
      </c>
      <c r="T67" s="16" t="e">
        <f t="shared" si="14"/>
        <v>#DIV/0!</v>
      </c>
      <c r="U67" s="36"/>
      <c r="V67" s="33">
        <f>bdrate($D67:$D70,E67:E70,$L67:$L70,M67:M70)</f>
        <v>-5.7845821333051273E-3</v>
      </c>
      <c r="W67" s="34">
        <f>bdrate($D67:$D70,F67:F70,$L67:$L70,N67:N70)</f>
        <v>-8.2475681788645172E-3</v>
      </c>
      <c r="X67" s="34">
        <f>bdrate($D67:$D70,G67:G70,$L67:$L70,O67:O70)</f>
        <v>-3.8577640146383319E-3</v>
      </c>
      <c r="Y67" s="44">
        <f>bdrateOld($D67:$D70,E67:E70,$L67:$L70,M67:M70)</f>
        <v>-5.7998297666307375E-3</v>
      </c>
      <c r="Z67" s="45">
        <f>bdrateOld($D67:$D70,F67:F70,$L67:$L70,N67:N70)</f>
        <v>-8.085471161518254E-3</v>
      </c>
      <c r="AA67" s="46">
        <f>bdrateOld($D67:$D70,G67:G70,$L67:$L70,O67:O70)</f>
        <v>-3.826773038049236E-3</v>
      </c>
    </row>
    <row r="68" spans="1:27" ht="12.5" x14ac:dyDescent="0.25">
      <c r="A68" s="13"/>
      <c r="B68" s="14"/>
      <c r="C68" s="13">
        <v>32</v>
      </c>
      <c r="D68" s="204">
        <v>582.40319999999997</v>
      </c>
      <c r="E68" s="204">
        <v>40.975299999999997</v>
      </c>
      <c r="F68" s="204">
        <v>45.099400000000003</v>
      </c>
      <c r="G68" s="204">
        <v>46.107799999999997</v>
      </c>
      <c r="H68" s="204">
        <v>10224.085999999999</v>
      </c>
      <c r="I68" s="16">
        <f>Reference!G210</f>
        <v>0</v>
      </c>
      <c r="J68" s="28">
        <f t="shared" si="11"/>
        <v>2.8400238888888887</v>
      </c>
      <c r="L68" s="204">
        <v>577.61279999999999</v>
      </c>
      <c r="M68" s="204">
        <v>40.964799999999997</v>
      </c>
      <c r="N68" s="204">
        <v>45.105899999999998</v>
      </c>
      <c r="O68" s="204">
        <v>46.101300000000002</v>
      </c>
      <c r="P68" s="204">
        <v>9520.7620000000006</v>
      </c>
      <c r="Q68" s="16">
        <f>Test!G210</f>
        <v>0</v>
      </c>
      <c r="R68" s="28">
        <f t="shared" si="12"/>
        <v>2.6446561111111113</v>
      </c>
      <c r="S68" s="15">
        <f t="shared" si="13"/>
        <v>0.93120910759162245</v>
      </c>
      <c r="T68" s="16" t="e">
        <f t="shared" si="14"/>
        <v>#DIV/0!</v>
      </c>
      <c r="U68" s="36"/>
      <c r="V68" s="37"/>
      <c r="W68" s="38"/>
      <c r="X68" s="38"/>
      <c r="Y68" s="37"/>
      <c r="Z68" s="38"/>
      <c r="AA68" s="39"/>
    </row>
    <row r="69" spans="1:27" ht="12.5" x14ac:dyDescent="0.25">
      <c r="A69" s="13"/>
      <c r="B69" s="14"/>
      <c r="C69" s="13">
        <v>38</v>
      </c>
      <c r="D69" s="204">
        <v>300.54239999999999</v>
      </c>
      <c r="E69" s="204">
        <v>38.947699999999998</v>
      </c>
      <c r="F69" s="204">
        <v>43.579599999999999</v>
      </c>
      <c r="G69" s="204">
        <v>44.624099999999999</v>
      </c>
      <c r="H69" s="204">
        <v>6860.5280000000002</v>
      </c>
      <c r="I69" s="16">
        <f>Reference!G211</f>
        <v>0</v>
      </c>
      <c r="J69" s="28">
        <f t="shared" si="11"/>
        <v>1.9057022222222222</v>
      </c>
      <c r="L69" s="204">
        <v>297.21120000000002</v>
      </c>
      <c r="M69" s="204">
        <v>38.938099999999999</v>
      </c>
      <c r="N69" s="204">
        <v>43.578899999999997</v>
      </c>
      <c r="O69" s="204">
        <v>44.619599999999998</v>
      </c>
      <c r="P69" s="204">
        <v>7455.44</v>
      </c>
      <c r="Q69" s="16">
        <f>Test!G211</f>
        <v>0</v>
      </c>
      <c r="R69" s="28">
        <f t="shared" si="12"/>
        <v>2.0709555555555554</v>
      </c>
      <c r="S69" s="15">
        <f t="shared" si="13"/>
        <v>1.0867151916004132</v>
      </c>
      <c r="T69" s="16" t="e">
        <f t="shared" si="14"/>
        <v>#DIV/0!</v>
      </c>
      <c r="U69" s="36"/>
      <c r="V69" s="37"/>
      <c r="W69" s="38"/>
      <c r="X69" s="38"/>
      <c r="Y69" s="37"/>
      <c r="Z69" s="38"/>
      <c r="AA69" s="39"/>
    </row>
    <row r="70" spans="1:27" ht="13" thickBot="1" x14ac:dyDescent="0.3">
      <c r="A70" s="13"/>
      <c r="B70" s="17"/>
      <c r="C70" s="18">
        <v>45</v>
      </c>
      <c r="D70" s="204">
        <v>161.1696</v>
      </c>
      <c r="E70" s="204">
        <v>36.342199999999998</v>
      </c>
      <c r="F70" s="204">
        <v>41.607700000000001</v>
      </c>
      <c r="G70" s="204">
        <v>42.665399999999998</v>
      </c>
      <c r="H70" s="204">
        <v>3295.029</v>
      </c>
      <c r="I70" s="20">
        <f>Reference!G212</f>
        <v>0</v>
      </c>
      <c r="J70" s="29">
        <f t="shared" si="11"/>
        <v>0.91528583333333335</v>
      </c>
      <c r="L70" s="204">
        <v>160.00319999999999</v>
      </c>
      <c r="M70" s="204">
        <v>36.335999999999999</v>
      </c>
      <c r="N70" s="204">
        <v>41.5824</v>
      </c>
      <c r="O70" s="204">
        <v>42.607700000000001</v>
      </c>
      <c r="P70" s="204">
        <v>3273.7719999999999</v>
      </c>
      <c r="Q70" s="20">
        <f>Test!G212</f>
        <v>0</v>
      </c>
      <c r="R70" s="29">
        <f t="shared" si="12"/>
        <v>0.90938111111111108</v>
      </c>
      <c r="S70" s="15">
        <f t="shared" si="13"/>
        <v>0.99354876694560201</v>
      </c>
      <c r="T70" s="16" t="e">
        <f t="shared" si="14"/>
        <v>#DIV/0!</v>
      </c>
      <c r="U70" s="36"/>
      <c r="V70" s="40"/>
      <c r="W70" s="41"/>
      <c r="X70" s="41"/>
      <c r="Y70" s="40"/>
      <c r="Z70" s="41"/>
      <c r="AA70" s="42"/>
    </row>
    <row r="71" spans="1:27" x14ac:dyDescent="0.25">
      <c r="A71" s="13"/>
      <c r="B71" s="6" t="s">
        <v>61</v>
      </c>
      <c r="C71" s="10">
        <v>27</v>
      </c>
      <c r="D71" s="11">
        <f>Reference!B213</f>
        <v>0</v>
      </c>
      <c r="E71" s="12">
        <f>Reference!C213</f>
        <v>0</v>
      </c>
      <c r="F71" s="12">
        <f>Reference!D213</f>
        <v>0</v>
      </c>
      <c r="G71" s="12">
        <f>Reference!E213</f>
        <v>0</v>
      </c>
      <c r="H71" s="12">
        <f>Reference!F213</f>
        <v>0</v>
      </c>
      <c r="I71" s="12">
        <f>Reference!G213</f>
        <v>0</v>
      </c>
      <c r="J71" s="27">
        <f t="shared" si="11"/>
        <v>0</v>
      </c>
      <c r="L71" s="11">
        <f>Test!B213</f>
        <v>0</v>
      </c>
      <c r="M71" s="12">
        <f>Test!C213</f>
        <v>0</v>
      </c>
      <c r="N71" s="12">
        <f>Test!D213</f>
        <v>0</v>
      </c>
      <c r="O71" s="12">
        <f>Test!E213</f>
        <v>0</v>
      </c>
      <c r="P71" s="12">
        <f>Test!F213</f>
        <v>0</v>
      </c>
      <c r="Q71" s="12">
        <f>Test!G213</f>
        <v>0</v>
      </c>
      <c r="R71" s="27">
        <f t="shared" si="12"/>
        <v>0</v>
      </c>
      <c r="S71" s="15" t="e">
        <f t="shared" si="13"/>
        <v>#DIV/0!</v>
      </c>
      <c r="T71" s="16" t="e">
        <f t="shared" si="14"/>
        <v>#DIV/0!</v>
      </c>
      <c r="U71" s="36"/>
      <c r="V71" s="33" t="e">
        <f>bdrate($D71:$D74,E71:E74,$L71:$L74,M71:M74)</f>
        <v>#VALUE!</v>
      </c>
      <c r="W71" s="34" t="e">
        <f>bdrate($D71:$D74,F71:F74,$L71:$L74,N71:N74)</f>
        <v>#VALUE!</v>
      </c>
      <c r="X71" s="35" t="e">
        <f>bdrate($D71:$D74,G71:G74,$L71:$L74,O71:O74)</f>
        <v>#VALUE!</v>
      </c>
      <c r="Y71" s="33" t="e">
        <f>bdrateOld($D71:$D74,E71:E74,$L71:$L74,M71:M74)</f>
        <v>#VALUE!</v>
      </c>
      <c r="Z71" s="34" t="e">
        <f>bdrateOld($D71:$D74,F71:F74,$L71:$L74,N71:N74)</f>
        <v>#VALUE!</v>
      </c>
      <c r="AA71" s="35" t="e">
        <f>bdrateOld($D71:$D74,G71:G74,$L71:$L74,O71:O74)</f>
        <v>#VALUE!</v>
      </c>
    </row>
    <row r="72" spans="1:27" x14ac:dyDescent="0.25">
      <c r="A72" s="13"/>
      <c r="B72" s="14"/>
      <c r="C72" s="13">
        <v>32</v>
      </c>
      <c r="D72" s="15">
        <f>Reference!B214</f>
        <v>0</v>
      </c>
      <c r="E72" s="16">
        <f>Reference!C214</f>
        <v>0</v>
      </c>
      <c r="F72" s="16">
        <f>Reference!D214</f>
        <v>0</v>
      </c>
      <c r="G72" s="16">
        <f>Reference!E214</f>
        <v>0</v>
      </c>
      <c r="H72" s="16">
        <f>Reference!F214</f>
        <v>0</v>
      </c>
      <c r="I72" s="16">
        <f>Reference!G214</f>
        <v>0</v>
      </c>
      <c r="J72" s="28">
        <f t="shared" ref="J72:J74" si="15">H72/3600</f>
        <v>0</v>
      </c>
      <c r="L72" s="15">
        <f>Test!B214</f>
        <v>0</v>
      </c>
      <c r="M72" s="16">
        <f>Test!C214</f>
        <v>0</v>
      </c>
      <c r="N72" s="16">
        <f>Test!D214</f>
        <v>0</v>
      </c>
      <c r="O72" s="16">
        <f>Test!E214</f>
        <v>0</v>
      </c>
      <c r="P72" s="16">
        <f>Test!F214</f>
        <v>0</v>
      </c>
      <c r="Q72" s="16">
        <f>Test!G214</f>
        <v>0</v>
      </c>
      <c r="R72" s="28">
        <f t="shared" ref="R72:R74" si="16">P72/3600</f>
        <v>0</v>
      </c>
      <c r="S72" s="15" t="e">
        <f t="shared" si="13"/>
        <v>#DIV/0!</v>
      </c>
      <c r="T72" s="16" t="e">
        <f t="shared" si="14"/>
        <v>#DIV/0!</v>
      </c>
      <c r="U72" s="36"/>
      <c r="V72" s="37"/>
      <c r="W72" s="38"/>
      <c r="X72" s="39"/>
      <c r="Y72" s="37"/>
      <c r="Z72" s="38"/>
      <c r="AA72" s="39"/>
    </row>
    <row r="73" spans="1:27" x14ac:dyDescent="0.25">
      <c r="A73" s="13"/>
      <c r="B73" s="14"/>
      <c r="C73" s="13">
        <v>38</v>
      </c>
      <c r="D73" s="15">
        <f>Reference!B215</f>
        <v>0</v>
      </c>
      <c r="E73" s="16">
        <f>Reference!C215</f>
        <v>0</v>
      </c>
      <c r="F73" s="16">
        <f>Reference!D215</f>
        <v>0</v>
      </c>
      <c r="G73" s="16">
        <f>Reference!E215</f>
        <v>0</v>
      </c>
      <c r="H73" s="16">
        <f>Reference!F215</f>
        <v>0</v>
      </c>
      <c r="I73" s="16">
        <f>Reference!G215</f>
        <v>0</v>
      </c>
      <c r="J73" s="28">
        <f t="shared" si="15"/>
        <v>0</v>
      </c>
      <c r="L73" s="15">
        <f>Test!B215</f>
        <v>0</v>
      </c>
      <c r="M73" s="16">
        <f>Test!C215</f>
        <v>0</v>
      </c>
      <c r="N73" s="16">
        <f>Test!D215</f>
        <v>0</v>
      </c>
      <c r="O73" s="16">
        <f>Test!E215</f>
        <v>0</v>
      </c>
      <c r="P73" s="16">
        <f>Test!F215</f>
        <v>0</v>
      </c>
      <c r="Q73" s="16">
        <f>Test!G215</f>
        <v>0</v>
      </c>
      <c r="R73" s="28">
        <f t="shared" si="16"/>
        <v>0</v>
      </c>
      <c r="S73" s="15" t="e">
        <f t="shared" si="13"/>
        <v>#DIV/0!</v>
      </c>
      <c r="T73" s="16" t="e">
        <f t="shared" si="14"/>
        <v>#DIV/0!</v>
      </c>
      <c r="U73" s="36"/>
      <c r="V73" s="37"/>
      <c r="W73" s="38"/>
      <c r="X73" s="39"/>
      <c r="Y73" s="37"/>
      <c r="Z73" s="38"/>
      <c r="AA73" s="39"/>
    </row>
    <row r="74" spans="1:27" ht="12" thickBot="1" x14ac:dyDescent="0.3">
      <c r="A74" s="18"/>
      <c r="B74" s="17"/>
      <c r="C74" s="18">
        <v>45</v>
      </c>
      <c r="D74" s="19">
        <f>Reference!B216</f>
        <v>0</v>
      </c>
      <c r="E74" s="20">
        <f>Reference!C216</f>
        <v>0</v>
      </c>
      <c r="F74" s="20">
        <f>Reference!D216</f>
        <v>0</v>
      </c>
      <c r="G74" s="20">
        <f>Reference!E216</f>
        <v>0</v>
      </c>
      <c r="H74" s="20">
        <f>Reference!F216</f>
        <v>0</v>
      </c>
      <c r="I74" s="20">
        <f>Reference!G216</f>
        <v>0</v>
      </c>
      <c r="J74" s="29">
        <f t="shared" si="15"/>
        <v>0</v>
      </c>
      <c r="L74" s="19">
        <f>Test!B216</f>
        <v>0</v>
      </c>
      <c r="M74" s="20">
        <f>Test!C216</f>
        <v>0</v>
      </c>
      <c r="N74" s="20">
        <f>Test!D216</f>
        <v>0</v>
      </c>
      <c r="O74" s="20">
        <f>Test!E216</f>
        <v>0</v>
      </c>
      <c r="P74" s="20">
        <f>Test!F216</f>
        <v>0</v>
      </c>
      <c r="Q74" s="20">
        <f>Test!G216</f>
        <v>0</v>
      </c>
      <c r="R74" s="29">
        <f t="shared" si="16"/>
        <v>0</v>
      </c>
      <c r="S74" s="19" t="e">
        <f t="shared" si="13"/>
        <v>#DIV/0!</v>
      </c>
      <c r="T74" s="20" t="e">
        <f t="shared" si="14"/>
        <v>#DIV/0!</v>
      </c>
      <c r="U74" s="43"/>
      <c r="V74" s="40"/>
      <c r="W74" s="41"/>
      <c r="X74" s="42"/>
      <c r="Y74" s="40"/>
      <c r="Z74" s="41"/>
      <c r="AA74" s="42"/>
    </row>
    <row r="75" spans="1:27" ht="12" x14ac:dyDescent="0.25">
      <c r="B75" s="47" t="s">
        <v>7</v>
      </c>
      <c r="I75" s="50" t="e">
        <f>GEOMEAN(I3:I18)</f>
        <v>#NUM!</v>
      </c>
      <c r="J75" s="50" t="e">
        <f>GEOMEAN(J3:J18)</f>
        <v>#NUM!</v>
      </c>
      <c r="Q75" s="50" t="e">
        <f>GEOMEAN(Q3:Q18)</f>
        <v>#NUM!</v>
      </c>
      <c r="R75" s="50" t="e">
        <f>GEOMEAN(R3:R18)</f>
        <v>#NUM!</v>
      </c>
      <c r="S75" s="50" t="e">
        <f>GEOMEAN(S3:S18)</f>
        <v>#DIV/0!</v>
      </c>
      <c r="T75" s="50" t="e">
        <f>GEOMEAN(T3:T18)</f>
        <v>#DIV/0!</v>
      </c>
      <c r="V75" s="33" t="e">
        <f>AVERAGE(V3:V18)</f>
        <v>#VALUE!</v>
      </c>
      <c r="W75" s="34" t="e">
        <f t="shared" ref="W75:AA75" si="17">AVERAGE(W3:W18)</f>
        <v>#VALUE!</v>
      </c>
      <c r="X75" s="34" t="e">
        <f t="shared" si="17"/>
        <v>#VALUE!</v>
      </c>
      <c r="Y75" s="33" t="e">
        <f t="shared" si="17"/>
        <v>#VALUE!</v>
      </c>
      <c r="Z75" s="34" t="e">
        <f t="shared" si="17"/>
        <v>#VALUE!</v>
      </c>
      <c r="AA75" s="35" t="e">
        <f t="shared" si="17"/>
        <v>#VALUE!</v>
      </c>
    </row>
    <row r="76" spans="1:27" ht="12" x14ac:dyDescent="0.25">
      <c r="B76" s="47" t="s">
        <v>8</v>
      </c>
      <c r="I76" s="50" t="e">
        <f>GEOMEAN(I19:I34)</f>
        <v>#NUM!</v>
      </c>
      <c r="J76" s="50" t="e">
        <f>GEOMEAN(J19:J34)</f>
        <v>#NUM!</v>
      </c>
      <c r="Q76" s="50" t="e">
        <f>GEOMEAN(Q19:Q34)</f>
        <v>#NUM!</v>
      </c>
      <c r="R76" s="50" t="e">
        <f>GEOMEAN(R19:R34)</f>
        <v>#NUM!</v>
      </c>
      <c r="S76" s="50" t="e">
        <f>GEOMEAN(S19:S34)</f>
        <v>#DIV/0!</v>
      </c>
      <c r="T76" s="50" t="e">
        <f>GEOMEAN(T19:T34)</f>
        <v>#DIV/0!</v>
      </c>
      <c r="V76" s="37" t="e">
        <f>AVERAGE(V19:V34)</f>
        <v>#VALUE!</v>
      </c>
      <c r="W76" s="38" t="e">
        <f t="shared" ref="W76:AA76" si="18">AVERAGE(W19:W34)</f>
        <v>#VALUE!</v>
      </c>
      <c r="X76" s="38" t="e">
        <f t="shared" si="18"/>
        <v>#VALUE!</v>
      </c>
      <c r="Y76" s="37" t="e">
        <f t="shared" si="18"/>
        <v>#VALUE!</v>
      </c>
      <c r="Z76" s="38" t="e">
        <f t="shared" si="18"/>
        <v>#VALUE!</v>
      </c>
      <c r="AA76" s="39" t="e">
        <f t="shared" si="18"/>
        <v>#VALUE!</v>
      </c>
    </row>
    <row r="77" spans="1:27" ht="12" x14ac:dyDescent="0.25">
      <c r="B77" s="47" t="s">
        <v>9</v>
      </c>
      <c r="I77" s="50" t="e">
        <f>GEOMEAN(I35:I50)</f>
        <v>#NUM!</v>
      </c>
      <c r="J77" s="50" t="e">
        <f>GEOMEAN(J35:J50)</f>
        <v>#NUM!</v>
      </c>
      <c r="Q77" s="50" t="e">
        <f>GEOMEAN(Q35:Q50)</f>
        <v>#NUM!</v>
      </c>
      <c r="R77" s="50" t="e">
        <f>GEOMEAN(R35:R50)</f>
        <v>#NUM!</v>
      </c>
      <c r="S77" s="50" t="e">
        <f>GEOMEAN(S35:S50)</f>
        <v>#DIV/0!</v>
      </c>
      <c r="T77" s="50" t="e">
        <f>GEOMEAN(T35:T50)</f>
        <v>#DIV/0!</v>
      </c>
      <c r="V77" s="37" t="e">
        <f>AVERAGE(V35:V50)</f>
        <v>#VALUE!</v>
      </c>
      <c r="W77" s="38" t="e">
        <f t="shared" ref="W77:AA77" si="19">AVERAGE(W35:W50)</f>
        <v>#VALUE!</v>
      </c>
      <c r="X77" s="38" t="e">
        <f t="shared" si="19"/>
        <v>#VALUE!</v>
      </c>
      <c r="Y77" s="37" t="e">
        <f t="shared" si="19"/>
        <v>#VALUE!</v>
      </c>
      <c r="Z77" s="38" t="e">
        <f t="shared" si="19"/>
        <v>#VALUE!</v>
      </c>
      <c r="AA77" s="39" t="e">
        <f t="shared" si="19"/>
        <v>#VALUE!</v>
      </c>
    </row>
    <row r="78" spans="1:27" ht="12" x14ac:dyDescent="0.25">
      <c r="B78" s="47" t="s">
        <v>77</v>
      </c>
      <c r="I78" s="50" t="e">
        <f>GEOMEAN(I51:I58)</f>
        <v>#NUM!</v>
      </c>
      <c r="J78" s="50" t="e">
        <f>GEOMEAN(J51:J58)</f>
        <v>#NUM!</v>
      </c>
      <c r="Q78" s="50" t="e">
        <f>GEOMEAN(Q51:Q58)</f>
        <v>#NUM!</v>
      </c>
      <c r="R78" s="50" t="e">
        <f>GEOMEAN(R51:R58)</f>
        <v>#NUM!</v>
      </c>
      <c r="S78" s="50" t="e">
        <f>GEOMEAN(S51:S58)</f>
        <v>#DIV/0!</v>
      </c>
      <c r="T78" s="50" t="e">
        <f>GEOMEAN(T51:T58)</f>
        <v>#DIV/0!</v>
      </c>
      <c r="V78" s="37" t="e">
        <f>AVERAGE(V51:V58)</f>
        <v>#VALUE!</v>
      </c>
      <c r="W78" s="38" t="e">
        <f t="shared" ref="W78:AA78" si="20">AVERAGE(W51:W58)</f>
        <v>#VALUE!</v>
      </c>
      <c r="X78" s="38" t="e">
        <f t="shared" si="20"/>
        <v>#VALUE!</v>
      </c>
      <c r="Y78" s="37" t="e">
        <f t="shared" si="20"/>
        <v>#VALUE!</v>
      </c>
      <c r="Z78" s="38" t="e">
        <f t="shared" si="20"/>
        <v>#VALUE!</v>
      </c>
      <c r="AA78" s="39" t="e">
        <f t="shared" si="20"/>
        <v>#VALUE!</v>
      </c>
    </row>
    <row r="79" spans="1:27" ht="12" thickBot="1" x14ac:dyDescent="0.3">
      <c r="B79" s="3" t="s">
        <v>84</v>
      </c>
      <c r="I79" s="50" t="e">
        <f>GEOMEAN(I59:I74)</f>
        <v>#NUM!</v>
      </c>
      <c r="J79" s="50" t="e">
        <f>GEOMEAN(J59:J74)</f>
        <v>#NUM!</v>
      </c>
      <c r="Q79" s="50" t="e">
        <f>GEOMEAN(Q59:Q74)</f>
        <v>#NUM!</v>
      </c>
      <c r="R79" s="50" t="e">
        <f>GEOMEAN(R59:R74)</f>
        <v>#NUM!</v>
      </c>
      <c r="S79" s="50" t="e">
        <f t="shared" ref="S79:T79" si="21">GEOMEAN(S59:S74)</f>
        <v>#DIV/0!</v>
      </c>
      <c r="T79" s="50" t="e">
        <f t="shared" si="21"/>
        <v>#DIV/0!</v>
      </c>
      <c r="V79" s="44" t="e">
        <f>AVERAGE(V59:V74)</f>
        <v>#VALUE!</v>
      </c>
      <c r="W79" s="45" t="e">
        <f t="shared" ref="W79:AA79" si="22">AVERAGE(W59:W74)</f>
        <v>#VALUE!</v>
      </c>
      <c r="X79" s="45" t="e">
        <f t="shared" si="22"/>
        <v>#VALUE!</v>
      </c>
      <c r="Y79" s="44" t="e">
        <f t="shared" si="22"/>
        <v>#VALUE!</v>
      </c>
      <c r="Z79" s="45" t="e">
        <f t="shared" si="22"/>
        <v>#VALUE!</v>
      </c>
      <c r="AA79" s="46" t="e">
        <f t="shared" si="22"/>
        <v>#VALUE!</v>
      </c>
    </row>
    <row r="80" spans="1:27" ht="12" thickBot="1" x14ac:dyDescent="0.3">
      <c r="A80" s="48"/>
      <c r="B80" s="49" t="s">
        <v>85</v>
      </c>
      <c r="C80" s="49"/>
      <c r="D80" s="49"/>
      <c r="E80" s="49"/>
      <c r="F80" s="49"/>
      <c r="G80" s="49"/>
      <c r="H80" s="49"/>
      <c r="I80" s="51" t="e">
        <f>GEOMEAN(I3:I50)</f>
        <v>#NUM!</v>
      </c>
      <c r="J80" s="51" t="e">
        <f>GEOMEAN(J3:J50)</f>
        <v>#NUM!</v>
      </c>
      <c r="K80" s="49"/>
      <c r="L80" s="49"/>
      <c r="M80" s="49"/>
      <c r="N80" s="49"/>
      <c r="O80" s="49"/>
      <c r="P80" s="49"/>
      <c r="Q80" s="51" t="e">
        <f>GEOMEAN(Q3:Q50)</f>
        <v>#NUM!</v>
      </c>
      <c r="R80" s="51" t="e">
        <f>GEOMEAN(R3:R50)</f>
        <v>#NUM!</v>
      </c>
      <c r="S80" s="51" t="e">
        <f>GEOMEAN(S3:S50)</f>
        <v>#DIV/0!</v>
      </c>
      <c r="T80" s="51" t="e">
        <f>GEOMEAN(T3:T50)</f>
        <v>#DIV/0!</v>
      </c>
      <c r="U80" s="49"/>
      <c r="V80" s="53" t="e">
        <f>AVERAGE(V3:V50)</f>
        <v>#VALUE!</v>
      </c>
      <c r="W80" s="54" t="e">
        <f t="shared" ref="W80:AA80" si="23">AVERAGE(W3:W50)</f>
        <v>#VALUE!</v>
      </c>
      <c r="X80" s="55" t="e">
        <f t="shared" si="23"/>
        <v>#VALUE!</v>
      </c>
      <c r="Y80" s="54" t="e">
        <f t="shared" si="23"/>
        <v>#VALUE!</v>
      </c>
      <c r="Z80" s="54" t="e">
        <f t="shared" si="23"/>
        <v>#VALUE!</v>
      </c>
      <c r="AA80" s="55" t="e">
        <f t="shared" si="23"/>
        <v>#VALUE!</v>
      </c>
    </row>
    <row r="81" spans="2:20" x14ac:dyDescent="0.25">
      <c r="B81" s="3" t="s">
        <v>86</v>
      </c>
      <c r="I81" s="52" t="e">
        <f>GEOMEAN(I3:I58)</f>
        <v>#NUM!</v>
      </c>
      <c r="J81" s="52" t="e">
        <f>GEOMEAN(J3:J58)</f>
        <v>#NUM!</v>
      </c>
      <c r="Q81" s="52" t="e">
        <f>GEOMEAN(Q3:Q58)</f>
        <v>#NUM!</v>
      </c>
      <c r="R81" s="52" t="e">
        <f>GEOMEAN(R3:R58)</f>
        <v>#NUM!</v>
      </c>
      <c r="S81" s="52"/>
      <c r="T81" s="52"/>
    </row>
    <row r="82" spans="2:20" x14ac:dyDescent="0.25">
      <c r="B82" s="3" t="s">
        <v>87</v>
      </c>
      <c r="Q82" s="56" t="e">
        <f>Q81/I81</f>
        <v>#NUM!</v>
      </c>
      <c r="R82" s="56" t="e">
        <f>R81/J81</f>
        <v>#NUM!</v>
      </c>
      <c r="S82" s="56"/>
      <c r="T82" s="56"/>
    </row>
    <row r="83" spans="2:20" x14ac:dyDescent="0.25">
      <c r="B83" s="3" t="s">
        <v>88</v>
      </c>
      <c r="I83" s="52"/>
      <c r="J83" s="52"/>
      <c r="Q83" s="52"/>
      <c r="R83" s="52"/>
      <c r="S83" s="52"/>
      <c r="T83" s="52"/>
    </row>
  </sheetData>
  <mergeCells count="4">
    <mergeCell ref="D1:J1"/>
    <mergeCell ref="L1:R1"/>
    <mergeCell ref="V1:X1"/>
    <mergeCell ref="Y1:AA1"/>
  </mergeCells>
  <phoneticPr fontId="12" type="noConversion"/>
  <conditionalFormatting sqref="V3:X3">
    <cfRule type="cellIs" dxfId="367" priority="89" operator="greaterThan">
      <formula>0.03</formula>
    </cfRule>
    <cfRule type="cellIs" dxfId="366" priority="90" stopIfTrue="1" operator="lessThan">
      <formula>-0.03</formula>
    </cfRule>
  </conditionalFormatting>
  <conditionalFormatting sqref="Y3">
    <cfRule type="cellIs" dxfId="365" priority="87" operator="greaterThan">
      <formula>0.03</formula>
    </cfRule>
    <cfRule type="cellIs" dxfId="364" priority="88" stopIfTrue="1" operator="lessThan">
      <formula>-0.03</formula>
    </cfRule>
  </conditionalFormatting>
  <conditionalFormatting sqref="Z3">
    <cfRule type="cellIs" dxfId="363" priority="85" operator="greaterThan">
      <formula>0.03</formula>
    </cfRule>
    <cfRule type="cellIs" dxfId="362" priority="86" stopIfTrue="1" operator="lessThan">
      <formula>-0.03</formula>
    </cfRule>
  </conditionalFormatting>
  <conditionalFormatting sqref="AA3">
    <cfRule type="cellIs" dxfId="361" priority="83" operator="greaterThan">
      <formula>0.03</formula>
    </cfRule>
    <cfRule type="cellIs" dxfId="360" priority="84" stopIfTrue="1" operator="lessThan">
      <formula>-0.03</formula>
    </cfRule>
  </conditionalFormatting>
  <conditionalFormatting sqref="Y6:Z6">
    <cfRule type="cellIs" dxfId="359" priority="619" operator="greaterThan">
      <formula>0.03</formula>
    </cfRule>
    <cfRule type="cellIs" dxfId="358" priority="620" stopIfTrue="1" operator="lessThan">
      <formula>-0.03</formula>
    </cfRule>
  </conditionalFormatting>
  <conditionalFormatting sqref="V7:X7">
    <cfRule type="cellIs" dxfId="357" priority="81" operator="greaterThan">
      <formula>0.03</formula>
    </cfRule>
    <cfRule type="cellIs" dxfId="356" priority="82" stopIfTrue="1" operator="lessThan">
      <formula>-0.03</formula>
    </cfRule>
  </conditionalFormatting>
  <conditionalFormatting sqref="Y7">
    <cfRule type="cellIs" dxfId="355" priority="79" operator="greaterThan">
      <formula>0.03</formula>
    </cfRule>
    <cfRule type="cellIs" dxfId="354" priority="80" stopIfTrue="1" operator="lessThan">
      <formula>-0.03</formula>
    </cfRule>
  </conditionalFormatting>
  <conditionalFormatting sqref="Z7">
    <cfRule type="cellIs" dxfId="353" priority="77" operator="greaterThan">
      <formula>0.03</formula>
    </cfRule>
    <cfRule type="cellIs" dxfId="352" priority="78" stopIfTrue="1" operator="lessThan">
      <formula>-0.03</formula>
    </cfRule>
  </conditionalFormatting>
  <conditionalFormatting sqref="AA7">
    <cfRule type="cellIs" dxfId="351" priority="75" operator="greaterThan">
      <formula>0.03</formula>
    </cfRule>
    <cfRule type="cellIs" dxfId="350" priority="76" stopIfTrue="1" operator="lessThan">
      <formula>-0.03</formula>
    </cfRule>
  </conditionalFormatting>
  <conditionalFormatting sqref="Y10:Z10">
    <cfRule type="cellIs" dxfId="349" priority="617" operator="greaterThan">
      <formula>0.03</formula>
    </cfRule>
    <cfRule type="cellIs" dxfId="348" priority="618" stopIfTrue="1" operator="lessThan">
      <formula>-0.03</formula>
    </cfRule>
  </conditionalFormatting>
  <conditionalFormatting sqref="V11:X11">
    <cfRule type="cellIs" dxfId="347" priority="73" operator="greaterThan">
      <formula>0.03</formula>
    </cfRule>
    <cfRule type="cellIs" dxfId="346" priority="74" stopIfTrue="1" operator="lessThan">
      <formula>-0.03</formula>
    </cfRule>
  </conditionalFormatting>
  <conditionalFormatting sqref="Y11">
    <cfRule type="cellIs" dxfId="345" priority="71" operator="greaterThan">
      <formula>0.03</formula>
    </cfRule>
    <cfRule type="cellIs" dxfId="344" priority="72" stopIfTrue="1" operator="lessThan">
      <formula>-0.03</formula>
    </cfRule>
  </conditionalFormatting>
  <conditionalFormatting sqref="Z11">
    <cfRule type="cellIs" dxfId="343" priority="69" operator="greaterThan">
      <formula>0.03</formula>
    </cfRule>
    <cfRule type="cellIs" dxfId="342" priority="70" stopIfTrue="1" operator="lessThan">
      <formula>-0.03</formula>
    </cfRule>
  </conditionalFormatting>
  <conditionalFormatting sqref="AA11">
    <cfRule type="cellIs" dxfId="341" priority="67" operator="greaterThan">
      <formula>0.03</formula>
    </cfRule>
    <cfRule type="cellIs" dxfId="340" priority="68" stopIfTrue="1" operator="lessThan">
      <formula>-0.03</formula>
    </cfRule>
  </conditionalFormatting>
  <conditionalFormatting sqref="Y14:Z14">
    <cfRule type="cellIs" dxfId="339" priority="615" operator="greaterThan">
      <formula>0.03</formula>
    </cfRule>
    <cfRule type="cellIs" dxfId="338" priority="616" stopIfTrue="1" operator="lessThan">
      <formula>-0.03</formula>
    </cfRule>
  </conditionalFormatting>
  <conditionalFormatting sqref="V15:X15">
    <cfRule type="cellIs" dxfId="337" priority="65" operator="greaterThan">
      <formula>0.03</formula>
    </cfRule>
    <cfRule type="cellIs" dxfId="336" priority="66" stopIfTrue="1" operator="lessThan">
      <formula>-0.03</formula>
    </cfRule>
  </conditionalFormatting>
  <conditionalFormatting sqref="Y15">
    <cfRule type="cellIs" dxfId="335" priority="63" operator="greaterThan">
      <formula>0.03</formula>
    </cfRule>
    <cfRule type="cellIs" dxfId="334" priority="64" stopIfTrue="1" operator="lessThan">
      <formula>-0.03</formula>
    </cfRule>
  </conditionalFormatting>
  <conditionalFormatting sqref="Z15">
    <cfRule type="cellIs" dxfId="333" priority="61" operator="greaterThan">
      <formula>0.03</formula>
    </cfRule>
    <cfRule type="cellIs" dxfId="332" priority="62" stopIfTrue="1" operator="lessThan">
      <formula>-0.03</formula>
    </cfRule>
  </conditionalFormatting>
  <conditionalFormatting sqref="AA15">
    <cfRule type="cellIs" dxfId="331" priority="59" operator="greaterThan">
      <formula>0.03</formula>
    </cfRule>
    <cfRule type="cellIs" dxfId="330" priority="60" stopIfTrue="1" operator="lessThan">
      <formula>-0.03</formula>
    </cfRule>
  </conditionalFormatting>
  <conditionalFormatting sqref="Y18:Z18">
    <cfRule type="cellIs" dxfId="329" priority="521" operator="greaterThan">
      <formula>0.03</formula>
    </cfRule>
    <cfRule type="cellIs" dxfId="328" priority="522" stopIfTrue="1" operator="lessThan">
      <formula>-0.03</formula>
    </cfRule>
  </conditionalFormatting>
  <conditionalFormatting sqref="V19:X19">
    <cfRule type="cellIs" dxfId="327" priority="57" operator="greaterThan">
      <formula>0.03</formula>
    </cfRule>
    <cfRule type="cellIs" dxfId="326" priority="58" stopIfTrue="1" operator="lessThan">
      <formula>-0.03</formula>
    </cfRule>
  </conditionalFormatting>
  <conditionalFormatting sqref="Y19">
    <cfRule type="cellIs" dxfId="325" priority="55" operator="greaterThan">
      <formula>0.03</formula>
    </cfRule>
    <cfRule type="cellIs" dxfId="324" priority="56" stopIfTrue="1" operator="lessThan">
      <formula>-0.03</formula>
    </cfRule>
  </conditionalFormatting>
  <conditionalFormatting sqref="Z19">
    <cfRule type="cellIs" dxfId="323" priority="53" operator="greaterThan">
      <formula>0.03</formula>
    </cfRule>
    <cfRule type="cellIs" dxfId="322" priority="54" stopIfTrue="1" operator="lessThan">
      <formula>-0.03</formula>
    </cfRule>
  </conditionalFormatting>
  <conditionalFormatting sqref="AA19">
    <cfRule type="cellIs" dxfId="321" priority="51" operator="greaterThan">
      <formula>0.03</formula>
    </cfRule>
    <cfRule type="cellIs" dxfId="320" priority="52" stopIfTrue="1" operator="lessThan">
      <formula>-0.03</formula>
    </cfRule>
  </conditionalFormatting>
  <conditionalFormatting sqref="Y22:Z22">
    <cfRule type="cellIs" dxfId="319" priority="519" operator="greaterThan">
      <formula>0.03</formula>
    </cfRule>
    <cfRule type="cellIs" dxfId="318" priority="520" stopIfTrue="1" operator="lessThan">
      <formula>-0.03</formula>
    </cfRule>
  </conditionalFormatting>
  <conditionalFormatting sqref="V23:X23">
    <cfRule type="cellIs" dxfId="317" priority="49" operator="greaterThan">
      <formula>0.03</formula>
    </cfRule>
    <cfRule type="cellIs" dxfId="316" priority="50" stopIfTrue="1" operator="lessThan">
      <formula>-0.03</formula>
    </cfRule>
  </conditionalFormatting>
  <conditionalFormatting sqref="Y23">
    <cfRule type="cellIs" dxfId="315" priority="47" operator="greaterThan">
      <formula>0.03</formula>
    </cfRule>
    <cfRule type="cellIs" dxfId="314" priority="48" stopIfTrue="1" operator="lessThan">
      <formula>-0.03</formula>
    </cfRule>
  </conditionalFormatting>
  <conditionalFormatting sqref="Z23">
    <cfRule type="cellIs" dxfId="313" priority="45" operator="greaterThan">
      <formula>0.03</formula>
    </cfRule>
    <cfRule type="cellIs" dxfId="312" priority="46" stopIfTrue="1" operator="lessThan">
      <formula>-0.03</formula>
    </cfRule>
  </conditionalFormatting>
  <conditionalFormatting sqref="AA23">
    <cfRule type="cellIs" dxfId="311" priority="43" operator="greaterThan">
      <formula>0.03</formula>
    </cfRule>
    <cfRule type="cellIs" dxfId="310" priority="44" stopIfTrue="1" operator="lessThan">
      <formula>-0.03</formula>
    </cfRule>
  </conditionalFormatting>
  <conditionalFormatting sqref="Y26:Z26">
    <cfRule type="cellIs" dxfId="309" priority="517" operator="greaterThan">
      <formula>0.03</formula>
    </cfRule>
    <cfRule type="cellIs" dxfId="308" priority="518" stopIfTrue="1" operator="lessThan">
      <formula>-0.03</formula>
    </cfRule>
  </conditionalFormatting>
  <conditionalFormatting sqref="Y27">
    <cfRule type="cellIs" dxfId="307" priority="471" operator="greaterThan">
      <formula>0.03</formula>
    </cfRule>
    <cfRule type="cellIs" dxfId="306" priority="472" stopIfTrue="1" operator="lessThan">
      <formula>-0.03</formula>
    </cfRule>
  </conditionalFormatting>
  <conditionalFormatting sqref="Z27">
    <cfRule type="cellIs" dxfId="305" priority="469" operator="greaterThan">
      <formula>0.03</formula>
    </cfRule>
    <cfRule type="cellIs" dxfId="304" priority="470" stopIfTrue="1" operator="lessThan">
      <formula>-0.03</formula>
    </cfRule>
  </conditionalFormatting>
  <conditionalFormatting sqref="AA27">
    <cfRule type="cellIs" dxfId="303" priority="467" operator="greaterThan">
      <formula>0.03</formula>
    </cfRule>
    <cfRule type="cellIs" dxfId="302" priority="468" stopIfTrue="1" operator="lessThan">
      <formula>-0.03</formula>
    </cfRule>
  </conditionalFormatting>
  <conditionalFormatting sqref="Y30:Z30">
    <cfRule type="cellIs" dxfId="301" priority="465" operator="greaterThan">
      <formula>0.03</formula>
    </cfRule>
    <cfRule type="cellIs" dxfId="300" priority="466" stopIfTrue="1" operator="lessThan">
      <formula>-0.03</formula>
    </cfRule>
  </conditionalFormatting>
  <conditionalFormatting sqref="Y31">
    <cfRule type="cellIs" dxfId="299" priority="451" operator="greaterThan">
      <formula>0.03</formula>
    </cfRule>
    <cfRule type="cellIs" dxfId="298" priority="452" stopIfTrue="1" operator="lessThan">
      <formula>-0.03</formula>
    </cfRule>
  </conditionalFormatting>
  <conditionalFormatting sqref="Z31">
    <cfRule type="cellIs" dxfId="297" priority="449" operator="greaterThan">
      <formula>0.03</formula>
    </cfRule>
    <cfRule type="cellIs" dxfId="296" priority="450" stopIfTrue="1" operator="lessThan">
      <formula>-0.03</formula>
    </cfRule>
  </conditionalFormatting>
  <conditionalFormatting sqref="AA31">
    <cfRule type="cellIs" dxfId="295" priority="447" operator="greaterThan">
      <formula>0.03</formula>
    </cfRule>
    <cfRule type="cellIs" dxfId="294" priority="448" stopIfTrue="1" operator="lessThan">
      <formula>-0.03</formula>
    </cfRule>
  </conditionalFormatting>
  <conditionalFormatting sqref="Y34:Z34">
    <cfRule type="cellIs" dxfId="293" priority="439" operator="greaterThan">
      <formula>0.03</formula>
    </cfRule>
    <cfRule type="cellIs" dxfId="292" priority="440" stopIfTrue="1" operator="lessThan">
      <formula>-0.03</formula>
    </cfRule>
  </conditionalFormatting>
  <conditionalFormatting sqref="Y35">
    <cfRule type="cellIs" dxfId="291" priority="445" operator="greaterThan">
      <formula>0.03</formula>
    </cfRule>
    <cfRule type="cellIs" dxfId="290" priority="446" stopIfTrue="1" operator="lessThan">
      <formula>-0.03</formula>
    </cfRule>
  </conditionalFormatting>
  <conditionalFormatting sqref="Z35">
    <cfRule type="cellIs" dxfId="289" priority="443" operator="greaterThan">
      <formula>0.03</formula>
    </cfRule>
    <cfRule type="cellIs" dxfId="288" priority="444" stopIfTrue="1" operator="lessThan">
      <formula>-0.03</formula>
    </cfRule>
  </conditionalFormatting>
  <conditionalFormatting sqref="AA35">
    <cfRule type="cellIs" dxfId="287" priority="441" operator="greaterThan">
      <formula>0.03</formula>
    </cfRule>
    <cfRule type="cellIs" dxfId="286" priority="442" stopIfTrue="1" operator="lessThan">
      <formula>-0.03</formula>
    </cfRule>
  </conditionalFormatting>
  <conditionalFormatting sqref="Y38:Z38">
    <cfRule type="cellIs" dxfId="285" priority="437" operator="greaterThan">
      <formula>0.03</formula>
    </cfRule>
    <cfRule type="cellIs" dxfId="284" priority="438" stopIfTrue="1" operator="lessThan">
      <formula>-0.03</formula>
    </cfRule>
  </conditionalFormatting>
  <conditionalFormatting sqref="Y39">
    <cfRule type="cellIs" dxfId="283" priority="413" operator="greaterThan">
      <formula>0.03</formula>
    </cfRule>
    <cfRule type="cellIs" dxfId="282" priority="414" stopIfTrue="1" operator="lessThan">
      <formula>-0.03</formula>
    </cfRule>
  </conditionalFormatting>
  <conditionalFormatting sqref="Z39">
    <cfRule type="cellIs" dxfId="281" priority="411" operator="greaterThan">
      <formula>0.03</formula>
    </cfRule>
    <cfRule type="cellIs" dxfId="280" priority="412" stopIfTrue="1" operator="lessThan">
      <formula>-0.03</formula>
    </cfRule>
  </conditionalFormatting>
  <conditionalFormatting sqref="AA39">
    <cfRule type="cellIs" dxfId="279" priority="409" operator="greaterThan">
      <formula>0.03</formula>
    </cfRule>
    <cfRule type="cellIs" dxfId="278" priority="410" stopIfTrue="1" operator="lessThan">
      <formula>-0.03</formula>
    </cfRule>
  </conditionalFormatting>
  <conditionalFormatting sqref="Y42:Z42">
    <cfRule type="cellIs" dxfId="277" priority="401" operator="greaterThan">
      <formula>0.03</formula>
    </cfRule>
    <cfRule type="cellIs" dxfId="276" priority="402" stopIfTrue="1" operator="lessThan">
      <formula>-0.03</formula>
    </cfRule>
  </conditionalFormatting>
  <conditionalFormatting sqref="Y43">
    <cfRule type="cellIs" dxfId="275" priority="407" operator="greaterThan">
      <formula>0.03</formula>
    </cfRule>
    <cfRule type="cellIs" dxfId="274" priority="408" stopIfTrue="1" operator="lessThan">
      <formula>-0.03</formula>
    </cfRule>
  </conditionalFormatting>
  <conditionalFormatting sqref="Z43">
    <cfRule type="cellIs" dxfId="273" priority="405" operator="greaterThan">
      <formula>0.03</formula>
    </cfRule>
    <cfRule type="cellIs" dxfId="272" priority="406" stopIfTrue="1" operator="lessThan">
      <formula>-0.03</formula>
    </cfRule>
  </conditionalFormatting>
  <conditionalFormatting sqref="AA43">
    <cfRule type="cellIs" dxfId="271" priority="403" operator="greaterThan">
      <formula>0.03</formula>
    </cfRule>
    <cfRule type="cellIs" dxfId="270" priority="404" stopIfTrue="1" operator="lessThan">
      <formula>-0.03</formula>
    </cfRule>
  </conditionalFormatting>
  <conditionalFormatting sqref="Y46:Z46">
    <cfRule type="cellIs" dxfId="269" priority="399" operator="greaterThan">
      <formula>0.03</formula>
    </cfRule>
    <cfRule type="cellIs" dxfId="268" priority="400" stopIfTrue="1" operator="lessThan">
      <formula>-0.03</formula>
    </cfRule>
  </conditionalFormatting>
  <conditionalFormatting sqref="Y47">
    <cfRule type="cellIs" dxfId="267" priority="375" operator="greaterThan">
      <formula>0.03</formula>
    </cfRule>
    <cfRule type="cellIs" dxfId="266" priority="376" stopIfTrue="1" operator="lessThan">
      <formula>-0.03</formula>
    </cfRule>
  </conditionalFormatting>
  <conditionalFormatting sqref="Z47">
    <cfRule type="cellIs" dxfId="265" priority="373" operator="greaterThan">
      <formula>0.03</formula>
    </cfRule>
    <cfRule type="cellIs" dxfId="264" priority="374" stopIfTrue="1" operator="lessThan">
      <formula>-0.03</formula>
    </cfRule>
  </conditionalFormatting>
  <conditionalFormatting sqref="AA47">
    <cfRule type="cellIs" dxfId="263" priority="371" operator="greaterThan">
      <formula>0.03</formula>
    </cfRule>
    <cfRule type="cellIs" dxfId="262" priority="372" stopIfTrue="1" operator="lessThan">
      <formula>-0.03</formula>
    </cfRule>
  </conditionalFormatting>
  <conditionalFormatting sqref="Y50:Z50">
    <cfRule type="cellIs" dxfId="261" priority="351" operator="greaterThan">
      <formula>0.03</formula>
    </cfRule>
    <cfRule type="cellIs" dxfId="260" priority="352" stopIfTrue="1" operator="lessThan">
      <formula>-0.03</formula>
    </cfRule>
  </conditionalFormatting>
  <conditionalFormatting sqref="Y51">
    <cfRule type="cellIs" dxfId="259" priority="369" operator="greaterThan">
      <formula>0.03</formula>
    </cfRule>
    <cfRule type="cellIs" dxfId="258" priority="370" stopIfTrue="1" operator="lessThan">
      <formula>-0.03</formula>
    </cfRule>
  </conditionalFormatting>
  <conditionalFormatting sqref="Z51">
    <cfRule type="cellIs" dxfId="257" priority="367" operator="greaterThan">
      <formula>0.03</formula>
    </cfRule>
    <cfRule type="cellIs" dxfId="256" priority="368" stopIfTrue="1" operator="lessThan">
      <formula>-0.03</formula>
    </cfRule>
  </conditionalFormatting>
  <conditionalFormatting sqref="AA51">
    <cfRule type="cellIs" dxfId="255" priority="365" operator="greaterThan">
      <formula>0.03</formula>
    </cfRule>
    <cfRule type="cellIs" dxfId="254" priority="366" stopIfTrue="1" operator="lessThan">
      <formula>-0.03</formula>
    </cfRule>
  </conditionalFormatting>
  <conditionalFormatting sqref="Y54:Z54">
    <cfRule type="cellIs" dxfId="253" priority="349" operator="greaterThan">
      <formula>0.03</formula>
    </cfRule>
    <cfRule type="cellIs" dxfId="252" priority="350" stopIfTrue="1" operator="lessThan">
      <formula>-0.03</formula>
    </cfRule>
  </conditionalFormatting>
  <conditionalFormatting sqref="Y55">
    <cfRule type="cellIs" dxfId="251" priority="363" operator="greaterThan">
      <formula>0.03</formula>
    </cfRule>
    <cfRule type="cellIs" dxfId="250" priority="364" stopIfTrue="1" operator="lessThan">
      <formula>-0.03</formula>
    </cfRule>
  </conditionalFormatting>
  <conditionalFormatting sqref="Z55">
    <cfRule type="cellIs" dxfId="249" priority="361" operator="greaterThan">
      <formula>0.03</formula>
    </cfRule>
    <cfRule type="cellIs" dxfId="248" priority="362" stopIfTrue="1" operator="lessThan">
      <formula>-0.03</formula>
    </cfRule>
  </conditionalFormatting>
  <conditionalFormatting sqref="AA55">
    <cfRule type="cellIs" dxfId="247" priority="359" operator="greaterThan">
      <formula>0.03</formula>
    </cfRule>
    <cfRule type="cellIs" dxfId="246" priority="360" stopIfTrue="1" operator="lessThan">
      <formula>-0.03</formula>
    </cfRule>
  </conditionalFormatting>
  <conditionalFormatting sqref="Y58:Z58">
    <cfRule type="cellIs" dxfId="245" priority="347" operator="greaterThan">
      <formula>0.03</formula>
    </cfRule>
    <cfRule type="cellIs" dxfId="244" priority="348" stopIfTrue="1" operator="lessThan">
      <formula>-0.03</formula>
    </cfRule>
  </conditionalFormatting>
  <conditionalFormatting sqref="Y59">
    <cfRule type="cellIs" dxfId="243" priority="39" operator="greaterThan">
      <formula>0.03</formula>
    </cfRule>
    <cfRule type="cellIs" dxfId="242" priority="40" stopIfTrue="1" operator="lessThan">
      <formula>-0.03</formula>
    </cfRule>
  </conditionalFormatting>
  <conditionalFormatting sqref="Z59">
    <cfRule type="cellIs" dxfId="241" priority="37" operator="greaterThan">
      <formula>0.03</formula>
    </cfRule>
    <cfRule type="cellIs" dxfId="240" priority="38" stopIfTrue="1" operator="lessThan">
      <formula>-0.03</formula>
    </cfRule>
  </conditionalFormatting>
  <conditionalFormatting sqref="AA59">
    <cfRule type="cellIs" dxfId="239" priority="35" operator="greaterThan">
      <formula>0.03</formula>
    </cfRule>
    <cfRule type="cellIs" dxfId="238" priority="36" stopIfTrue="1" operator="lessThan">
      <formula>-0.03</formula>
    </cfRule>
  </conditionalFormatting>
  <conditionalFormatting sqref="Y62:Z62">
    <cfRule type="cellIs" dxfId="237" priority="33" operator="greaterThan">
      <formula>0.03</formula>
    </cfRule>
    <cfRule type="cellIs" dxfId="236" priority="34" stopIfTrue="1" operator="lessThan">
      <formula>-0.03</formula>
    </cfRule>
  </conditionalFormatting>
  <conditionalFormatting sqref="Y63">
    <cfRule type="cellIs" dxfId="235" priority="29" operator="greaterThan">
      <formula>0.03</formula>
    </cfRule>
    <cfRule type="cellIs" dxfId="234" priority="30" stopIfTrue="1" operator="lessThan">
      <formula>-0.03</formula>
    </cfRule>
  </conditionalFormatting>
  <conditionalFormatting sqref="Z63">
    <cfRule type="cellIs" dxfId="233" priority="27" operator="greaterThan">
      <formula>0.03</formula>
    </cfRule>
    <cfRule type="cellIs" dxfId="232" priority="28" stopIfTrue="1" operator="lessThan">
      <formula>-0.03</formula>
    </cfRule>
  </conditionalFormatting>
  <conditionalFormatting sqref="AA63">
    <cfRule type="cellIs" dxfId="231" priority="25" operator="greaterThan">
      <formula>0.03</formula>
    </cfRule>
    <cfRule type="cellIs" dxfId="230" priority="26" stopIfTrue="1" operator="lessThan">
      <formula>-0.03</formula>
    </cfRule>
  </conditionalFormatting>
  <conditionalFormatting sqref="Y66:Z66">
    <cfRule type="cellIs" dxfId="229" priority="17" operator="greaterThan">
      <formula>0.03</formula>
    </cfRule>
    <cfRule type="cellIs" dxfId="228" priority="18" stopIfTrue="1" operator="lessThan">
      <formula>-0.03</formula>
    </cfRule>
  </conditionalFormatting>
  <conditionalFormatting sqref="Y67">
    <cfRule type="cellIs" dxfId="227" priority="23" operator="greaterThan">
      <formula>0.03</formula>
    </cfRule>
    <cfRule type="cellIs" dxfId="226" priority="24" stopIfTrue="1" operator="lessThan">
      <formula>-0.03</formula>
    </cfRule>
  </conditionalFormatting>
  <conditionalFormatting sqref="Z67">
    <cfRule type="cellIs" dxfId="225" priority="21" operator="greaterThan">
      <formula>0.03</formula>
    </cfRule>
    <cfRule type="cellIs" dxfId="224" priority="22" stopIfTrue="1" operator="lessThan">
      <formula>-0.03</formula>
    </cfRule>
  </conditionalFormatting>
  <conditionalFormatting sqref="AA67">
    <cfRule type="cellIs" dxfId="223" priority="19" operator="greaterThan">
      <formula>0.03</formula>
    </cfRule>
    <cfRule type="cellIs" dxfId="222" priority="20" stopIfTrue="1" operator="lessThan">
      <formula>-0.03</formula>
    </cfRule>
  </conditionalFormatting>
  <conditionalFormatting sqref="Y70:Z70">
    <cfRule type="cellIs" dxfId="221" priority="15" operator="greaterThan">
      <formula>0.03</formula>
    </cfRule>
    <cfRule type="cellIs" dxfId="220" priority="16" stopIfTrue="1" operator="lessThan">
      <formula>-0.03</formula>
    </cfRule>
  </conditionalFormatting>
  <conditionalFormatting sqref="Y71">
    <cfRule type="cellIs" dxfId="219" priority="11" operator="greaterThan">
      <formula>0.03</formula>
    </cfRule>
    <cfRule type="cellIs" dxfId="218" priority="12" stopIfTrue="1" operator="lessThan">
      <formula>-0.03</formula>
    </cfRule>
  </conditionalFormatting>
  <conditionalFormatting sqref="Z71">
    <cfRule type="cellIs" dxfId="217" priority="9" operator="greaterThan">
      <formula>0.03</formula>
    </cfRule>
    <cfRule type="cellIs" dxfId="216" priority="10" stopIfTrue="1" operator="lessThan">
      <formula>-0.03</formula>
    </cfRule>
  </conditionalFormatting>
  <conditionalFormatting sqref="AA71">
    <cfRule type="cellIs" dxfId="215" priority="7" operator="greaterThan">
      <formula>0.03</formula>
    </cfRule>
    <cfRule type="cellIs" dxfId="214" priority="8" stopIfTrue="1" operator="lessThan">
      <formula>-0.03</formula>
    </cfRule>
  </conditionalFormatting>
  <conditionalFormatting sqref="Y74:Z74">
    <cfRule type="cellIs" dxfId="213" priority="5" operator="greaterThan">
      <formula>0.03</formula>
    </cfRule>
    <cfRule type="cellIs" dxfId="212" priority="6" stopIfTrue="1" operator="lessThan">
      <formula>-0.03</formula>
    </cfRule>
  </conditionalFormatting>
  <conditionalFormatting sqref="V79:X79">
    <cfRule type="cellIs" dxfId="211" priority="3" operator="greaterThan">
      <formula>0.03</formula>
    </cfRule>
    <cfRule type="cellIs" dxfId="210" priority="4" stopIfTrue="1" operator="lessThan">
      <formula>-0.03</formula>
    </cfRule>
  </conditionalFormatting>
  <conditionalFormatting sqref="Y79:AA79">
    <cfRule type="cellIs" dxfId="209" priority="1" operator="greaterThan">
      <formula>0.03</formula>
    </cfRule>
    <cfRule type="cellIs" dxfId="208" priority="2" stopIfTrue="1" operator="lessThan">
      <formula>-0.03</formula>
    </cfRule>
  </conditionalFormatting>
  <conditionalFormatting sqref="V80:AA80">
    <cfRule type="cellIs" dxfId="207" priority="91" operator="greaterThan">
      <formula>0.03</formula>
    </cfRule>
    <cfRule type="cellIs" dxfId="206" priority="92" stopIfTrue="1" operator="lessThan">
      <formula>-0.03</formula>
    </cfRule>
  </conditionalFormatting>
  <conditionalFormatting sqref="V4:X6 V8:X10 V12:X14">
    <cfRule type="cellIs" dxfId="205" priority="645" operator="greaterThan">
      <formula>0.03</formula>
    </cfRule>
    <cfRule type="cellIs" dxfId="204" priority="646" stopIfTrue="1" operator="lessThan">
      <formula>-0.03</formula>
    </cfRule>
  </conditionalFormatting>
  <conditionalFormatting sqref="V16:X18 V20:X22 V24:X26">
    <cfRule type="cellIs" dxfId="203" priority="547" operator="greaterThan">
      <formula>0.03</formula>
    </cfRule>
    <cfRule type="cellIs" dxfId="202" priority="548" stopIfTrue="1" operator="lessThan">
      <formula>-0.03</formula>
    </cfRule>
  </conditionalFormatting>
  <conditionalFormatting sqref="V27:X30">
    <cfRule type="cellIs" dxfId="201" priority="473" operator="greaterThan">
      <formula>0.03</formula>
    </cfRule>
    <cfRule type="cellIs" dxfId="200" priority="474" stopIfTrue="1" operator="lessThan">
      <formula>-0.03</formula>
    </cfRule>
  </conditionalFormatting>
  <conditionalFormatting sqref="V31:X38">
    <cfRule type="cellIs" dxfId="199" priority="453" operator="greaterThan">
      <formula>0.03</formula>
    </cfRule>
    <cfRule type="cellIs" dxfId="198" priority="454" stopIfTrue="1" operator="lessThan">
      <formula>-0.03</formula>
    </cfRule>
  </conditionalFormatting>
  <conditionalFormatting sqref="V39:X46">
    <cfRule type="cellIs" dxfId="197" priority="415" operator="greaterThan">
      <formula>0.03</formula>
    </cfRule>
    <cfRule type="cellIs" dxfId="196" priority="416" stopIfTrue="1" operator="lessThan">
      <formula>-0.03</formula>
    </cfRule>
  </conditionalFormatting>
  <conditionalFormatting sqref="V47:X58">
    <cfRule type="cellIs" dxfId="195" priority="377" operator="greaterThan">
      <formula>0.03</formula>
    </cfRule>
    <cfRule type="cellIs" dxfId="194" priority="378" stopIfTrue="1" operator="lessThan">
      <formula>-0.03</formula>
    </cfRule>
  </conditionalFormatting>
  <conditionalFormatting sqref="V59:X62">
    <cfRule type="cellIs" dxfId="193" priority="41" operator="greaterThan">
      <formula>0.03</formula>
    </cfRule>
    <cfRule type="cellIs" dxfId="192" priority="42" stopIfTrue="1" operator="lessThan">
      <formula>-0.03</formula>
    </cfRule>
  </conditionalFormatting>
  <conditionalFormatting sqref="V63:X70">
    <cfRule type="cellIs" dxfId="191" priority="31" operator="greaterThan">
      <formula>0.03</formula>
    </cfRule>
    <cfRule type="cellIs" dxfId="190" priority="32" stopIfTrue="1" operator="lessThan">
      <formula>-0.03</formula>
    </cfRule>
  </conditionalFormatting>
  <conditionalFormatting sqref="V71:X74">
    <cfRule type="cellIs" dxfId="189" priority="13" operator="greaterThan">
      <formula>0.03</formula>
    </cfRule>
    <cfRule type="cellIs" dxfId="188" priority="14" stopIfTrue="1" operator="lessThan">
      <formula>-0.03</formula>
    </cfRule>
  </conditionalFormatting>
  <conditionalFormatting sqref="V75:X78">
    <cfRule type="cellIs" dxfId="187" priority="95" operator="greaterThan">
      <formula>0.03</formula>
    </cfRule>
    <cfRule type="cellIs" dxfId="186" priority="96" stopIfTrue="1" operator="lessThan">
      <formula>-0.03</formula>
    </cfRule>
  </conditionalFormatting>
  <conditionalFormatting sqref="Y75:AA78">
    <cfRule type="cellIs" dxfId="185" priority="93" operator="greaterThan">
      <formula>0.03</formula>
    </cfRule>
    <cfRule type="cellIs" dxfId="184" priority="94" stopIfTrue="1" operator="lessThan">
      <formula>-0.03</formula>
    </cfRule>
  </conditionalFormatting>
  <pageMargins left="0.75" right="0.75" top="1" bottom="1" header="0.5" footer="0.5"/>
  <pageSetup paperSize="9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E83"/>
  <sheetViews>
    <sheetView tabSelected="1" topLeftCell="A48" zoomScale="85" zoomScaleNormal="85" workbookViewId="0">
      <selection activeCell="AB74" sqref="AB74"/>
    </sheetView>
  </sheetViews>
  <sheetFormatPr defaultColWidth="10.83203125" defaultRowHeight="11.5" x14ac:dyDescent="0.25"/>
  <cols>
    <col min="1" max="1" width="8.33203125" style="3" customWidth="1"/>
    <col min="2" max="2" width="14.83203125" style="3" customWidth="1"/>
    <col min="3" max="3" width="7.83203125" style="3" customWidth="1"/>
    <col min="4" max="4" width="9.83203125" style="3" customWidth="1"/>
    <col min="5" max="7" width="6.83203125" style="3" customWidth="1"/>
    <col min="8" max="10" width="8.83203125" style="3" customWidth="1"/>
    <col min="11" max="11" width="2.83203125" style="3" customWidth="1"/>
    <col min="12" max="12" width="9.83203125" style="3" customWidth="1"/>
    <col min="13" max="15" width="6.83203125" style="3" customWidth="1"/>
    <col min="16" max="18" width="8.83203125" style="3" customWidth="1"/>
    <col min="19" max="20" width="5.08203125" style="3" customWidth="1"/>
    <col min="21" max="21" width="2.83203125" style="3" customWidth="1"/>
    <col min="22" max="27" width="8.83203125" style="3" customWidth="1"/>
    <col min="28" max="16384" width="10.83203125" style="3"/>
  </cols>
  <sheetData>
    <row r="1" spans="1:27" ht="12" thickBot="1" x14ac:dyDescent="0.3">
      <c r="D1" s="212" t="s">
        <v>62</v>
      </c>
      <c r="E1" s="213"/>
      <c r="F1" s="213"/>
      <c r="G1" s="213"/>
      <c r="H1" s="213"/>
      <c r="I1" s="213"/>
      <c r="J1" s="214"/>
      <c r="L1" s="212" t="s">
        <v>63</v>
      </c>
      <c r="M1" s="213"/>
      <c r="N1" s="213"/>
      <c r="O1" s="213"/>
      <c r="P1" s="213"/>
      <c r="Q1" s="213"/>
      <c r="R1" s="214"/>
      <c r="S1" s="30"/>
      <c r="T1" s="30"/>
      <c r="U1" s="26"/>
      <c r="V1" s="212" t="s">
        <v>64</v>
      </c>
      <c r="W1" s="213"/>
      <c r="X1" s="214"/>
      <c r="Y1" s="212" t="s">
        <v>65</v>
      </c>
      <c r="Z1" s="213"/>
      <c r="AA1" s="214"/>
    </row>
    <row r="2" spans="1:27" ht="12" thickBot="1" x14ac:dyDescent="0.3">
      <c r="A2" s="4"/>
      <c r="B2" s="5"/>
      <c r="C2" s="6" t="s">
        <v>66</v>
      </c>
      <c r="D2" s="7" t="s">
        <v>34</v>
      </c>
      <c r="E2" s="8" t="s">
        <v>35</v>
      </c>
      <c r="F2" s="8" t="s">
        <v>36</v>
      </c>
      <c r="G2" s="8" t="s">
        <v>37</v>
      </c>
      <c r="H2" s="8" t="s">
        <v>67</v>
      </c>
      <c r="I2" s="8" t="s">
        <v>68</v>
      </c>
      <c r="J2" s="25" t="s">
        <v>69</v>
      </c>
      <c r="K2" s="26"/>
      <c r="L2" s="7" t="s">
        <v>34</v>
      </c>
      <c r="M2" s="8" t="s">
        <v>35</v>
      </c>
      <c r="N2" s="8" t="s">
        <v>36</v>
      </c>
      <c r="O2" s="8" t="s">
        <v>37</v>
      </c>
      <c r="P2" s="8" t="s">
        <v>67</v>
      </c>
      <c r="Q2" s="8" t="s">
        <v>68</v>
      </c>
      <c r="R2" s="25" t="s">
        <v>69</v>
      </c>
      <c r="S2" s="31" t="s">
        <v>89</v>
      </c>
      <c r="T2" s="31" t="s">
        <v>90</v>
      </c>
      <c r="U2" s="31"/>
      <c r="V2" s="7" t="s">
        <v>2</v>
      </c>
      <c r="W2" s="8" t="s">
        <v>3</v>
      </c>
      <c r="X2" s="25" t="s">
        <v>4</v>
      </c>
      <c r="Y2" s="7" t="s">
        <v>2</v>
      </c>
      <c r="Z2" s="8" t="s">
        <v>3</v>
      </c>
      <c r="AA2" s="25" t="s">
        <v>4</v>
      </c>
    </row>
    <row r="3" spans="1:27" ht="15" x14ac:dyDescent="0.25">
      <c r="A3" s="9" t="s">
        <v>7</v>
      </c>
      <c r="B3" s="6" t="s">
        <v>39</v>
      </c>
      <c r="C3" s="10">
        <v>43</v>
      </c>
      <c r="D3" s="205"/>
      <c r="E3" s="205"/>
      <c r="F3" s="205"/>
      <c r="G3" s="205"/>
      <c r="H3" s="205"/>
      <c r="I3" s="12">
        <f>Reference!G217</f>
        <v>0</v>
      </c>
      <c r="J3" s="27">
        <f>H3/3600</f>
        <v>0</v>
      </c>
      <c r="L3" s="205"/>
      <c r="M3" s="205"/>
      <c r="N3" s="205"/>
      <c r="O3" s="205"/>
      <c r="P3" s="205"/>
      <c r="Q3" s="12">
        <f>Test!G217</f>
        <v>0</v>
      </c>
      <c r="R3" s="27">
        <f>P3/3600</f>
        <v>0</v>
      </c>
      <c r="S3" s="11" t="e">
        <f>P3/H3</f>
        <v>#DIV/0!</v>
      </c>
      <c r="T3" s="12" t="e">
        <f t="shared" ref="T3" si="0">Q3/I3</f>
        <v>#DIV/0!</v>
      </c>
      <c r="U3" s="32"/>
      <c r="V3" s="33" t="e">
        <f>bdrate($D3:$D6,E3:E6,$L3:$L6,M3:M6)</f>
        <v>#VALUE!</v>
      </c>
      <c r="W3" s="34" t="e">
        <f>bdrate($D3:$D6,F3:F6,$L3:$L6,N3:N6)</f>
        <v>#VALUE!</v>
      </c>
      <c r="X3" s="35" t="e">
        <f>bdrate($D3:$D6,G3:G6,$L3:$L6,O3:O6)</f>
        <v>#VALUE!</v>
      </c>
      <c r="Y3" s="33" t="e">
        <f>bdrateOld($D3:$D6,E3:E6,$L3:$L6,M3:M6)</f>
        <v>#VALUE!</v>
      </c>
      <c r="Z3" s="34" t="e">
        <f>bdrateOld($D3:$D6,F3:F6,$L3:$L6,N3:N6)</f>
        <v>#VALUE!</v>
      </c>
      <c r="AA3" s="35" t="e">
        <f>bdrateOld($D3:$D6,G3:G6,$L3:$L6,O3:O6)</f>
        <v>#VALUE!</v>
      </c>
    </row>
    <row r="4" spans="1:27" ht="15" x14ac:dyDescent="0.25">
      <c r="A4" s="13" t="s">
        <v>72</v>
      </c>
      <c r="B4" s="14"/>
      <c r="C4" s="13">
        <v>48</v>
      </c>
      <c r="D4" s="205"/>
      <c r="E4" s="205"/>
      <c r="F4" s="205"/>
      <c r="G4" s="205"/>
      <c r="H4" s="205"/>
      <c r="I4" s="16">
        <f>Reference!G218</f>
        <v>0</v>
      </c>
      <c r="J4" s="28">
        <f t="shared" ref="J4:J18" si="1">H4/3600</f>
        <v>0</v>
      </c>
      <c r="L4" s="205"/>
      <c r="M4" s="205"/>
      <c r="N4" s="205"/>
      <c r="O4" s="205"/>
      <c r="P4" s="205"/>
      <c r="Q4" s="16">
        <f>Test!G218</f>
        <v>0</v>
      </c>
      <c r="R4" s="28">
        <f t="shared" ref="R4:R18" si="2">P4/3600</f>
        <v>0</v>
      </c>
      <c r="S4" s="15" t="e">
        <f t="shared" ref="S4:S26" si="3">P4/H4</f>
        <v>#DIV/0!</v>
      </c>
      <c r="T4" s="16" t="e">
        <f t="shared" ref="T4:T26" si="4">Q4/I4</f>
        <v>#DIV/0!</v>
      </c>
      <c r="U4" s="36"/>
      <c r="W4" s="38"/>
      <c r="X4" s="39"/>
      <c r="Y4" s="37"/>
      <c r="Z4" s="38"/>
      <c r="AA4" s="39"/>
    </row>
    <row r="5" spans="1:27" ht="15" x14ac:dyDescent="0.25">
      <c r="A5" s="13"/>
      <c r="B5" s="14"/>
      <c r="C5" s="13">
        <v>54</v>
      </c>
      <c r="D5" s="205"/>
      <c r="E5" s="205"/>
      <c r="F5" s="205"/>
      <c r="G5" s="205"/>
      <c r="H5" s="205"/>
      <c r="I5" s="16">
        <f>Reference!G219</f>
        <v>0</v>
      </c>
      <c r="J5" s="28">
        <f t="shared" si="1"/>
        <v>0</v>
      </c>
      <c r="L5" s="205"/>
      <c r="M5" s="205"/>
      <c r="N5" s="205"/>
      <c r="O5" s="205"/>
      <c r="P5" s="205"/>
      <c r="Q5" s="16">
        <f>Test!G219</f>
        <v>0</v>
      </c>
      <c r="R5" s="28">
        <f t="shared" si="2"/>
        <v>0</v>
      </c>
      <c r="S5" s="15" t="e">
        <f t="shared" si="3"/>
        <v>#DIV/0!</v>
      </c>
      <c r="T5" s="16" t="e">
        <f t="shared" si="4"/>
        <v>#DIV/0!</v>
      </c>
      <c r="U5" s="36"/>
      <c r="V5" s="37"/>
      <c r="W5" s="38"/>
      <c r="X5" s="39"/>
      <c r="Y5" s="37"/>
      <c r="Z5" s="38"/>
      <c r="AA5" s="39"/>
    </row>
    <row r="6" spans="1:27" ht="15.5" thickBot="1" x14ac:dyDescent="0.3">
      <c r="A6" s="13"/>
      <c r="B6" s="17"/>
      <c r="C6" s="18">
        <v>61</v>
      </c>
      <c r="D6" s="205"/>
      <c r="E6" s="205"/>
      <c r="F6" s="205"/>
      <c r="G6" s="205"/>
      <c r="H6" s="205"/>
      <c r="I6" s="20">
        <f>Reference!G220</f>
        <v>0</v>
      </c>
      <c r="J6" s="29">
        <f t="shared" si="1"/>
        <v>0</v>
      </c>
      <c r="L6" s="205"/>
      <c r="M6" s="205"/>
      <c r="N6" s="205"/>
      <c r="O6" s="205"/>
      <c r="P6" s="205"/>
      <c r="Q6" s="20">
        <f>Test!G220</f>
        <v>0</v>
      </c>
      <c r="R6" s="29">
        <f>P6/3600</f>
        <v>0</v>
      </c>
      <c r="S6" s="15" t="e">
        <f>P6/H6</f>
        <v>#DIV/0!</v>
      </c>
      <c r="T6" s="16" t="e">
        <f t="shared" si="4"/>
        <v>#DIV/0!</v>
      </c>
      <c r="U6" s="36"/>
      <c r="V6" s="40"/>
      <c r="W6" s="41"/>
      <c r="X6" s="42"/>
      <c r="Y6" s="40"/>
      <c r="Z6" s="41"/>
      <c r="AA6" s="42"/>
    </row>
    <row r="7" spans="1:27" ht="15" x14ac:dyDescent="0.25">
      <c r="A7" s="13"/>
      <c r="B7" s="6" t="s">
        <v>40</v>
      </c>
      <c r="C7" s="10">
        <v>43</v>
      </c>
      <c r="D7" s="205"/>
      <c r="E7" s="205"/>
      <c r="F7" s="205"/>
      <c r="G7" s="205"/>
      <c r="H7" s="205"/>
      <c r="I7" s="12">
        <f>Reference!G221</f>
        <v>0</v>
      </c>
      <c r="J7" s="27">
        <f t="shared" si="1"/>
        <v>0</v>
      </c>
      <c r="L7" s="205"/>
      <c r="M7" s="205"/>
      <c r="N7" s="205"/>
      <c r="O7" s="205"/>
      <c r="P7" s="205"/>
      <c r="Q7" s="12">
        <f>Test!G221</f>
        <v>0</v>
      </c>
      <c r="R7" s="27">
        <f t="shared" si="2"/>
        <v>0</v>
      </c>
      <c r="S7" s="15" t="e">
        <f t="shared" si="3"/>
        <v>#DIV/0!</v>
      </c>
      <c r="T7" s="16" t="e">
        <f t="shared" si="4"/>
        <v>#DIV/0!</v>
      </c>
      <c r="U7" s="36"/>
      <c r="V7" s="33" t="e">
        <f>bdrate($D7:$D10,E7:E10,$L7:$L10,M7:M10)</f>
        <v>#VALUE!</v>
      </c>
      <c r="W7" s="34" t="e">
        <f>bdrate($D7:$D10,F7:F10,$L7:$L10,N7:N10)</f>
        <v>#VALUE!</v>
      </c>
      <c r="X7" s="35" t="e">
        <f>bdrate($D7:$D10,G7:G10,$L7:$L10,O7:O10)</f>
        <v>#VALUE!</v>
      </c>
      <c r="Y7" s="33" t="e">
        <f>bdrateOld($D7:$D10,E7:E10,$L7:$L10,M7:M10)</f>
        <v>#VALUE!</v>
      </c>
      <c r="Z7" s="34" t="e">
        <f>bdrateOld($D7:$D10,F7:F10,$L7:$L10,N7:N10)</f>
        <v>#VALUE!</v>
      </c>
      <c r="AA7" s="35" t="e">
        <f>bdrateOld($D7:$D10,G7:G10,$L7:$L10,O7:O10)</f>
        <v>#VALUE!</v>
      </c>
    </row>
    <row r="8" spans="1:27" ht="15" x14ac:dyDescent="0.25">
      <c r="A8" s="13"/>
      <c r="B8" s="14"/>
      <c r="C8" s="13">
        <v>48</v>
      </c>
      <c r="D8" s="205"/>
      <c r="E8" s="205"/>
      <c r="F8" s="205"/>
      <c r="G8" s="205"/>
      <c r="H8" s="205"/>
      <c r="I8" s="16">
        <f>Reference!G222</f>
        <v>0</v>
      </c>
      <c r="J8" s="28">
        <f t="shared" si="1"/>
        <v>0</v>
      </c>
      <c r="L8" s="205"/>
      <c r="M8" s="205"/>
      <c r="N8" s="205"/>
      <c r="O8" s="205"/>
      <c r="P8" s="205"/>
      <c r="Q8" s="16">
        <f>Test!G222</f>
        <v>0</v>
      </c>
      <c r="R8" s="28">
        <f t="shared" si="2"/>
        <v>0</v>
      </c>
      <c r="S8" s="15" t="e">
        <f t="shared" si="3"/>
        <v>#DIV/0!</v>
      </c>
      <c r="T8" s="16" t="e">
        <f t="shared" si="4"/>
        <v>#DIV/0!</v>
      </c>
      <c r="U8" s="36"/>
      <c r="W8" s="38"/>
      <c r="X8" s="38"/>
      <c r="Y8" s="37"/>
      <c r="Z8" s="38"/>
      <c r="AA8" s="39"/>
    </row>
    <row r="9" spans="1:27" ht="15" x14ac:dyDescent="0.25">
      <c r="A9" s="13"/>
      <c r="B9" s="14"/>
      <c r="C9" s="13">
        <v>54</v>
      </c>
      <c r="D9" s="205"/>
      <c r="E9" s="205"/>
      <c r="F9" s="205"/>
      <c r="G9" s="205"/>
      <c r="H9" s="205"/>
      <c r="I9" s="16">
        <f>Reference!G223</f>
        <v>0</v>
      </c>
      <c r="J9" s="28">
        <f t="shared" si="1"/>
        <v>0</v>
      </c>
      <c r="L9" s="205"/>
      <c r="M9" s="205"/>
      <c r="N9" s="205"/>
      <c r="O9" s="205"/>
      <c r="P9" s="205"/>
      <c r="Q9" s="16">
        <f>Test!G223</f>
        <v>0</v>
      </c>
      <c r="R9" s="28">
        <f t="shared" si="2"/>
        <v>0</v>
      </c>
      <c r="S9" s="15" t="e">
        <f t="shared" si="3"/>
        <v>#DIV/0!</v>
      </c>
      <c r="T9" s="16" t="e">
        <f t="shared" si="4"/>
        <v>#DIV/0!</v>
      </c>
      <c r="U9" s="36"/>
      <c r="V9" s="37"/>
      <c r="W9" s="38"/>
      <c r="X9" s="38"/>
      <c r="Y9" s="37"/>
      <c r="Z9" s="38"/>
      <c r="AA9" s="39"/>
    </row>
    <row r="10" spans="1:27" ht="15.5" thickBot="1" x14ac:dyDescent="0.3">
      <c r="A10" s="13"/>
      <c r="B10" s="17"/>
      <c r="C10" s="18">
        <v>61</v>
      </c>
      <c r="D10" s="205"/>
      <c r="E10" s="205"/>
      <c r="F10" s="205"/>
      <c r="G10" s="205"/>
      <c r="H10" s="205"/>
      <c r="I10" s="20">
        <f>Reference!G224</f>
        <v>0</v>
      </c>
      <c r="J10" s="29">
        <f t="shared" si="1"/>
        <v>0</v>
      </c>
      <c r="L10" s="205"/>
      <c r="M10" s="205"/>
      <c r="N10" s="205"/>
      <c r="O10" s="205"/>
      <c r="P10" s="205"/>
      <c r="Q10" s="20">
        <f>Test!G224</f>
        <v>0</v>
      </c>
      <c r="R10" s="29">
        <f t="shared" si="2"/>
        <v>0</v>
      </c>
      <c r="S10" s="15" t="e">
        <f t="shared" si="3"/>
        <v>#DIV/0!</v>
      </c>
      <c r="T10" s="16" t="e">
        <f t="shared" si="4"/>
        <v>#DIV/0!</v>
      </c>
      <c r="U10" s="36"/>
      <c r="V10" s="40"/>
      <c r="W10" s="41"/>
      <c r="X10" s="41"/>
      <c r="Y10" s="40"/>
      <c r="Z10" s="41"/>
      <c r="AA10" s="42"/>
    </row>
    <row r="11" spans="1:27" ht="15" x14ac:dyDescent="0.25">
      <c r="A11" s="21"/>
      <c r="B11" s="22" t="s">
        <v>42</v>
      </c>
      <c r="C11" s="10">
        <v>43</v>
      </c>
      <c r="D11" s="205"/>
      <c r="E11" s="205"/>
      <c r="F11" s="205"/>
      <c r="G11" s="205"/>
      <c r="H11" s="205"/>
      <c r="I11" s="12">
        <f>Reference!G225</f>
        <v>0</v>
      </c>
      <c r="J11" s="27">
        <f t="shared" si="1"/>
        <v>0</v>
      </c>
      <c r="L11" s="205"/>
      <c r="M11" s="205"/>
      <c r="N11" s="205"/>
      <c r="O11" s="205"/>
      <c r="P11" s="205"/>
      <c r="Q11" s="12">
        <f>Test!G225</f>
        <v>0</v>
      </c>
      <c r="R11" s="27">
        <f t="shared" si="2"/>
        <v>0</v>
      </c>
      <c r="S11" s="15" t="e">
        <f t="shared" si="3"/>
        <v>#DIV/0!</v>
      </c>
      <c r="T11" s="16" t="e">
        <f t="shared" si="4"/>
        <v>#DIV/0!</v>
      </c>
      <c r="U11" s="36"/>
      <c r="V11" s="33" t="e">
        <f>bdrate($D11:$D14,E11:E14,$L11:$L14,M11:M14)</f>
        <v>#VALUE!</v>
      </c>
      <c r="W11" s="34" t="e">
        <f>bdrate($D11:$D14,F11:F14,$L11:$L14,N11:N14)</f>
        <v>#VALUE!</v>
      </c>
      <c r="X11" s="35" t="e">
        <f>bdrate($D11:$D14,G11:G14,$L11:$L14,O11:O14)</f>
        <v>#VALUE!</v>
      </c>
      <c r="Y11" s="33" t="e">
        <f>bdrateOld($D11:$D14,E11:E14,$L11:$L14,M11:M14)</f>
        <v>#VALUE!</v>
      </c>
      <c r="Z11" s="34" t="e">
        <f>bdrateOld($D11:$D14,F11:F14,$L11:$L14,N11:N14)</f>
        <v>#VALUE!</v>
      </c>
      <c r="AA11" s="35" t="e">
        <f>bdrateOld($D11:$D14,G11:G14,$L11:$L14,O11:O14)</f>
        <v>#VALUE!</v>
      </c>
    </row>
    <row r="12" spans="1:27" ht="15" x14ac:dyDescent="0.25">
      <c r="A12" s="21"/>
      <c r="B12" s="23"/>
      <c r="C12" s="13">
        <v>48</v>
      </c>
      <c r="D12" s="205"/>
      <c r="E12" s="205"/>
      <c r="F12" s="205"/>
      <c r="G12" s="205"/>
      <c r="H12" s="205"/>
      <c r="I12" s="16">
        <f>Reference!G226</f>
        <v>0</v>
      </c>
      <c r="J12" s="28">
        <f t="shared" si="1"/>
        <v>0</v>
      </c>
      <c r="L12" s="205"/>
      <c r="M12" s="205"/>
      <c r="N12" s="205"/>
      <c r="O12" s="205"/>
      <c r="P12" s="205"/>
      <c r="Q12" s="16">
        <f>Test!G226</f>
        <v>0</v>
      </c>
      <c r="R12" s="28">
        <f t="shared" si="2"/>
        <v>0</v>
      </c>
      <c r="S12" s="15" t="e">
        <f t="shared" si="3"/>
        <v>#DIV/0!</v>
      </c>
      <c r="T12" s="16" t="e">
        <f t="shared" si="4"/>
        <v>#DIV/0!</v>
      </c>
      <c r="U12" s="36"/>
      <c r="V12" s="37"/>
      <c r="W12" s="38"/>
      <c r="X12" s="38"/>
      <c r="Y12" s="37"/>
      <c r="Z12" s="38"/>
      <c r="AA12" s="39"/>
    </row>
    <row r="13" spans="1:27" ht="15" x14ac:dyDescent="0.25">
      <c r="A13" s="21"/>
      <c r="B13" s="23"/>
      <c r="C13" s="13">
        <v>54</v>
      </c>
      <c r="D13" s="205"/>
      <c r="E13" s="205"/>
      <c r="F13" s="205"/>
      <c r="G13" s="205"/>
      <c r="H13" s="205"/>
      <c r="I13" s="16">
        <f>Reference!G227</f>
        <v>0</v>
      </c>
      <c r="J13" s="28">
        <f t="shared" si="1"/>
        <v>0</v>
      </c>
      <c r="L13" s="205"/>
      <c r="M13" s="205"/>
      <c r="N13" s="205"/>
      <c r="O13" s="205"/>
      <c r="P13" s="205"/>
      <c r="Q13" s="16">
        <f>Test!G227</f>
        <v>0</v>
      </c>
      <c r="R13" s="28">
        <f t="shared" si="2"/>
        <v>0</v>
      </c>
      <c r="S13" s="15" t="e">
        <f t="shared" si="3"/>
        <v>#DIV/0!</v>
      </c>
      <c r="T13" s="16" t="e">
        <f t="shared" si="4"/>
        <v>#DIV/0!</v>
      </c>
      <c r="U13" s="36"/>
      <c r="V13" s="37"/>
      <c r="W13" s="38"/>
      <c r="X13" s="38"/>
      <c r="Y13" s="37"/>
      <c r="Z13" s="38"/>
      <c r="AA13" s="39"/>
    </row>
    <row r="14" spans="1:27" ht="15.5" thickBot="1" x14ac:dyDescent="0.3">
      <c r="A14" s="21"/>
      <c r="B14" s="24"/>
      <c r="C14" s="18">
        <v>61</v>
      </c>
      <c r="D14" s="205"/>
      <c r="E14" s="205"/>
      <c r="F14" s="205"/>
      <c r="G14" s="205"/>
      <c r="H14" s="205"/>
      <c r="I14" s="20">
        <f>Reference!G228</f>
        <v>0</v>
      </c>
      <c r="J14" s="29">
        <f t="shared" si="1"/>
        <v>0</v>
      </c>
      <c r="L14" s="205"/>
      <c r="M14" s="205"/>
      <c r="N14" s="205"/>
      <c r="O14" s="205"/>
      <c r="P14" s="205"/>
      <c r="Q14" s="20">
        <f>Test!G228</f>
        <v>0</v>
      </c>
      <c r="R14" s="29">
        <f t="shared" si="2"/>
        <v>0</v>
      </c>
      <c r="S14" s="15" t="e">
        <f t="shared" si="3"/>
        <v>#DIV/0!</v>
      </c>
      <c r="T14" s="16" t="e">
        <f t="shared" si="4"/>
        <v>#DIV/0!</v>
      </c>
      <c r="U14" s="36"/>
      <c r="V14" s="40"/>
      <c r="W14" s="41"/>
      <c r="X14" s="41"/>
      <c r="Y14" s="40"/>
      <c r="Z14" s="41"/>
      <c r="AA14" s="42"/>
    </row>
    <row r="15" spans="1:27" ht="15" x14ac:dyDescent="0.25">
      <c r="A15" s="13"/>
      <c r="B15" s="6" t="s">
        <v>44</v>
      </c>
      <c r="C15" s="10">
        <v>43</v>
      </c>
      <c r="D15" s="205"/>
      <c r="E15" s="205"/>
      <c r="F15" s="205"/>
      <c r="G15" s="205"/>
      <c r="H15" s="205"/>
      <c r="I15" s="12">
        <f>Reference!G229</f>
        <v>0</v>
      </c>
      <c r="J15" s="27">
        <f t="shared" si="1"/>
        <v>0</v>
      </c>
      <c r="L15" s="205"/>
      <c r="M15" s="205"/>
      <c r="N15" s="205"/>
      <c r="O15" s="205"/>
      <c r="P15" s="205"/>
      <c r="Q15" s="12">
        <f>Test!G229</f>
        <v>0</v>
      </c>
      <c r="R15" s="27">
        <f t="shared" si="2"/>
        <v>0</v>
      </c>
      <c r="S15" s="15" t="e">
        <f t="shared" si="3"/>
        <v>#DIV/0!</v>
      </c>
      <c r="T15" s="16" t="e">
        <f t="shared" si="4"/>
        <v>#DIV/0!</v>
      </c>
      <c r="U15" s="36"/>
      <c r="V15" s="33" t="e">
        <f>bdrate($D15:$D18,E15:E18,$L15:$L18,M15:M18)</f>
        <v>#VALUE!</v>
      </c>
      <c r="W15" s="34" t="e">
        <f>bdrate($D15:$D18,F15:F18,$L15:$L18,N15:N18)</f>
        <v>#VALUE!</v>
      </c>
      <c r="X15" s="35" t="e">
        <f>bdrate($D15:$D18,G15:G18,$L15:$L18,O15:O18)</f>
        <v>#VALUE!</v>
      </c>
      <c r="Y15" s="33" t="e">
        <f>bdrateOld($D15:$D18,E15:E18,$L15:$L18,M15:M18)</f>
        <v>#VALUE!</v>
      </c>
      <c r="Z15" s="34" t="e">
        <f>bdrateOld($D15:$D18,F15:F18,$L15:$L18,N15:N18)</f>
        <v>#VALUE!</v>
      </c>
      <c r="AA15" s="35" t="e">
        <f>bdrateOld($D15:$D18,G15:G18,$L15:$L18,O15:O18)</f>
        <v>#VALUE!</v>
      </c>
    </row>
    <row r="16" spans="1:27" ht="15" x14ac:dyDescent="0.25">
      <c r="A16" s="13"/>
      <c r="B16" s="14"/>
      <c r="C16" s="13">
        <v>48</v>
      </c>
      <c r="D16" s="205"/>
      <c r="E16" s="205"/>
      <c r="F16" s="205"/>
      <c r="G16" s="205"/>
      <c r="H16" s="205"/>
      <c r="I16" s="16">
        <f>Reference!G230</f>
        <v>0</v>
      </c>
      <c r="J16" s="28">
        <f t="shared" si="1"/>
        <v>0</v>
      </c>
      <c r="L16" s="205"/>
      <c r="M16" s="205"/>
      <c r="N16" s="205"/>
      <c r="O16" s="205"/>
      <c r="P16" s="205"/>
      <c r="Q16" s="16">
        <f>Test!G230</f>
        <v>0</v>
      </c>
      <c r="R16" s="28">
        <f t="shared" si="2"/>
        <v>0</v>
      </c>
      <c r="S16" s="15" t="e">
        <f t="shared" si="3"/>
        <v>#DIV/0!</v>
      </c>
      <c r="T16" s="16" t="e">
        <f t="shared" si="4"/>
        <v>#DIV/0!</v>
      </c>
      <c r="U16" s="36"/>
      <c r="V16" s="37"/>
      <c r="W16" s="38"/>
      <c r="X16" s="39"/>
      <c r="Y16" s="37"/>
      <c r="Z16" s="38"/>
      <c r="AA16" s="39"/>
    </row>
    <row r="17" spans="1:27" ht="15" x14ac:dyDescent="0.25">
      <c r="A17" s="13"/>
      <c r="B17" s="14"/>
      <c r="C17" s="13">
        <v>54</v>
      </c>
      <c r="D17" s="205"/>
      <c r="E17" s="205"/>
      <c r="F17" s="205"/>
      <c r="G17" s="205"/>
      <c r="H17" s="205"/>
      <c r="I17" s="16">
        <f>Reference!G231</f>
        <v>0</v>
      </c>
      <c r="J17" s="28">
        <f t="shared" si="1"/>
        <v>0</v>
      </c>
      <c r="L17" s="205"/>
      <c r="M17" s="205"/>
      <c r="N17" s="205"/>
      <c r="O17" s="205"/>
      <c r="P17" s="205"/>
      <c r="Q17" s="16">
        <f>Test!G231</f>
        <v>0</v>
      </c>
      <c r="R17" s="28">
        <f t="shared" si="2"/>
        <v>0</v>
      </c>
      <c r="S17" s="15" t="e">
        <f t="shared" si="3"/>
        <v>#DIV/0!</v>
      </c>
      <c r="T17" s="16" t="e">
        <f t="shared" si="4"/>
        <v>#DIV/0!</v>
      </c>
      <c r="U17" s="36"/>
      <c r="V17" s="37"/>
      <c r="W17" s="38"/>
      <c r="X17" s="39"/>
      <c r="Y17" s="37"/>
      <c r="Z17" s="38"/>
      <c r="AA17" s="39"/>
    </row>
    <row r="18" spans="1:27" ht="15.5" thickBot="1" x14ac:dyDescent="0.3">
      <c r="A18" s="13"/>
      <c r="B18" s="17"/>
      <c r="C18" s="18">
        <v>61</v>
      </c>
      <c r="D18" s="205"/>
      <c r="E18" s="205"/>
      <c r="F18" s="205"/>
      <c r="G18" s="205"/>
      <c r="H18" s="205"/>
      <c r="I18" s="20">
        <f>Reference!G232</f>
        <v>0</v>
      </c>
      <c r="J18" s="29">
        <f t="shared" si="1"/>
        <v>0</v>
      </c>
      <c r="L18" s="205"/>
      <c r="M18" s="205"/>
      <c r="N18" s="205"/>
      <c r="O18" s="205"/>
      <c r="P18" s="205"/>
      <c r="Q18" s="20">
        <f>Test!G232</f>
        <v>0</v>
      </c>
      <c r="R18" s="29">
        <f t="shared" si="2"/>
        <v>0</v>
      </c>
      <c r="S18" s="15" t="e">
        <f t="shared" si="3"/>
        <v>#DIV/0!</v>
      </c>
      <c r="T18" s="16" t="e">
        <f t="shared" si="4"/>
        <v>#DIV/0!</v>
      </c>
      <c r="U18" s="36"/>
      <c r="V18" s="40"/>
      <c r="W18" s="41"/>
      <c r="X18" s="42"/>
      <c r="Y18" s="40"/>
      <c r="Z18" s="41"/>
      <c r="AA18" s="42"/>
    </row>
    <row r="19" spans="1:27" ht="15" x14ac:dyDescent="0.25">
      <c r="A19" s="9" t="s">
        <v>8</v>
      </c>
      <c r="B19" s="14" t="s">
        <v>45</v>
      </c>
      <c r="C19" s="10">
        <v>27</v>
      </c>
      <c r="D19" s="205"/>
      <c r="E19" s="205"/>
      <c r="F19" s="205"/>
      <c r="G19" s="205"/>
      <c r="H19" s="205"/>
      <c r="I19" s="12">
        <f>Reference!G233</f>
        <v>0</v>
      </c>
      <c r="J19" s="27">
        <f>H19/3600</f>
        <v>0</v>
      </c>
      <c r="L19" s="205"/>
      <c r="M19" s="205"/>
      <c r="N19" s="205"/>
      <c r="O19" s="205"/>
      <c r="P19" s="205"/>
      <c r="Q19" s="12">
        <f>Reference!O233</f>
        <v>0</v>
      </c>
      <c r="R19" s="27">
        <f>P19/3600</f>
        <v>0</v>
      </c>
      <c r="S19" s="11" t="e">
        <f>P19/H19</f>
        <v>#DIV/0!</v>
      </c>
      <c r="T19" s="12" t="e">
        <f t="shared" si="4"/>
        <v>#DIV/0!</v>
      </c>
      <c r="U19" s="32"/>
      <c r="V19" s="33" t="e">
        <f>bdrate($D19:$D22,E19:E22,$L19:$L22,M19:M22)</f>
        <v>#VALUE!</v>
      </c>
      <c r="W19" s="34" t="e">
        <f>bdrate($D19:$D22,F19:F22,$L19:$L22,N19:N22)</f>
        <v>#VALUE!</v>
      </c>
      <c r="X19" s="35" t="e">
        <f>bdrate($D19:$D22,G19:G22,$L19:$L22,O19:O22)</f>
        <v>#VALUE!</v>
      </c>
      <c r="Y19" s="33" t="e">
        <f>bdrateOld($D19:$D22,E19:E22,$L19:$L22,M19:M22)</f>
        <v>#VALUE!</v>
      </c>
      <c r="Z19" s="34" t="e">
        <f>bdrateOld($D19:$D22,F19:F22,$L19:$L22,N19:N22)</f>
        <v>#VALUE!</v>
      </c>
      <c r="AA19" s="35" t="e">
        <f>bdrateOld($D19:$D22,G19:G22,$L19:$L22,O19:O22)</f>
        <v>#VALUE!</v>
      </c>
    </row>
    <row r="20" spans="1:27" ht="15" x14ac:dyDescent="0.25">
      <c r="A20" s="13" t="s">
        <v>73</v>
      </c>
      <c r="B20" s="14"/>
      <c r="C20" s="13">
        <v>32</v>
      </c>
      <c r="D20" s="205"/>
      <c r="E20" s="205"/>
      <c r="F20" s="205"/>
      <c r="G20" s="205"/>
      <c r="H20" s="205"/>
      <c r="I20" s="16">
        <f>Reference!G234</f>
        <v>0</v>
      </c>
      <c r="J20" s="28">
        <f t="shared" ref="J20:J34" si="5">H20/3600</f>
        <v>0</v>
      </c>
      <c r="L20" s="205"/>
      <c r="M20" s="205"/>
      <c r="N20" s="205"/>
      <c r="O20" s="205"/>
      <c r="P20" s="205"/>
      <c r="Q20" s="16">
        <f>Reference!O234</f>
        <v>0</v>
      </c>
      <c r="R20" s="28">
        <f t="shared" ref="R20:R34" si="6">P20/3600</f>
        <v>0</v>
      </c>
      <c r="S20" s="15" t="e">
        <f t="shared" si="3"/>
        <v>#DIV/0!</v>
      </c>
      <c r="T20" s="16" t="e">
        <f t="shared" si="4"/>
        <v>#DIV/0!</v>
      </c>
      <c r="U20" s="36"/>
      <c r="V20" s="37"/>
      <c r="W20" s="38"/>
      <c r="X20" s="38"/>
      <c r="Y20" s="37"/>
      <c r="Z20" s="38"/>
      <c r="AA20" s="39"/>
    </row>
    <row r="21" spans="1:27" ht="15" x14ac:dyDescent="0.25">
      <c r="A21" s="13"/>
      <c r="B21" s="14"/>
      <c r="C21" s="13">
        <v>38</v>
      </c>
      <c r="D21" s="205"/>
      <c r="E21" s="205"/>
      <c r="F21" s="205"/>
      <c r="G21" s="205"/>
      <c r="H21" s="205"/>
      <c r="I21" s="16">
        <f>Reference!G235</f>
        <v>0</v>
      </c>
      <c r="J21" s="28">
        <f t="shared" si="5"/>
        <v>0</v>
      </c>
      <c r="L21" s="205"/>
      <c r="M21" s="205"/>
      <c r="N21" s="205"/>
      <c r="O21" s="205"/>
      <c r="P21" s="205"/>
      <c r="Q21" s="16">
        <f>Reference!O235</f>
        <v>0</v>
      </c>
      <c r="R21" s="28">
        <f t="shared" si="6"/>
        <v>0</v>
      </c>
      <c r="S21" s="15" t="e">
        <f t="shared" si="3"/>
        <v>#DIV/0!</v>
      </c>
      <c r="T21" s="16" t="e">
        <f t="shared" si="4"/>
        <v>#DIV/0!</v>
      </c>
      <c r="U21" s="36"/>
      <c r="V21" s="37"/>
      <c r="W21" s="38"/>
      <c r="X21" s="38"/>
      <c r="Y21" s="37"/>
      <c r="Z21" s="38"/>
      <c r="AA21" s="39"/>
    </row>
    <row r="22" spans="1:27" ht="15.5" thickBot="1" x14ac:dyDescent="0.3">
      <c r="A22" s="13"/>
      <c r="B22" s="17"/>
      <c r="C22" s="18">
        <v>45</v>
      </c>
      <c r="D22" s="205"/>
      <c r="E22" s="205"/>
      <c r="F22" s="205"/>
      <c r="G22" s="205"/>
      <c r="H22" s="205"/>
      <c r="I22" s="20">
        <f>Reference!G236</f>
        <v>0</v>
      </c>
      <c r="J22" s="29">
        <f t="shared" si="5"/>
        <v>0</v>
      </c>
      <c r="L22" s="205"/>
      <c r="M22" s="205"/>
      <c r="N22" s="205"/>
      <c r="O22" s="205"/>
      <c r="P22" s="205"/>
      <c r="Q22" s="20">
        <f>Reference!O236</f>
        <v>0</v>
      </c>
      <c r="R22" s="29">
        <f t="shared" si="6"/>
        <v>0</v>
      </c>
      <c r="S22" s="15" t="e">
        <f>P22/H22</f>
        <v>#DIV/0!</v>
      </c>
      <c r="T22" s="16" t="e">
        <f t="shared" si="4"/>
        <v>#DIV/0!</v>
      </c>
      <c r="U22" s="36"/>
      <c r="V22" s="40"/>
      <c r="W22" s="41"/>
      <c r="X22" s="41"/>
      <c r="Y22" s="40"/>
      <c r="Z22" s="41"/>
      <c r="AA22" s="42"/>
    </row>
    <row r="23" spans="1:27" ht="15" x14ac:dyDescent="0.25">
      <c r="A23" s="21"/>
      <c r="B23" s="14" t="s">
        <v>46</v>
      </c>
      <c r="C23" s="10">
        <v>27</v>
      </c>
      <c r="D23" s="205"/>
      <c r="E23" s="205"/>
      <c r="F23" s="205"/>
      <c r="G23" s="205"/>
      <c r="H23" s="205"/>
      <c r="I23" s="12">
        <f>Reference!G237</f>
        <v>0</v>
      </c>
      <c r="J23" s="27">
        <f t="shared" si="5"/>
        <v>0</v>
      </c>
      <c r="L23" s="205"/>
      <c r="M23" s="205"/>
      <c r="N23" s="205"/>
      <c r="O23" s="205"/>
      <c r="P23" s="205"/>
      <c r="Q23" s="12">
        <f>Reference!O237</f>
        <v>0</v>
      </c>
      <c r="R23" s="27">
        <f t="shared" si="6"/>
        <v>0</v>
      </c>
      <c r="S23" s="15" t="e">
        <f t="shared" si="3"/>
        <v>#DIV/0!</v>
      </c>
      <c r="T23" s="16" t="e">
        <f t="shared" si="4"/>
        <v>#DIV/0!</v>
      </c>
      <c r="U23" s="36"/>
      <c r="V23" s="33" t="e">
        <f>bdrate($D23:$D26,E23:E26,$L23:$L26,M23:M26)</f>
        <v>#VALUE!</v>
      </c>
      <c r="W23" s="34" t="e">
        <f>bdrate($D23:$D26,F23:F26,$L23:$L26,N23:N26)</f>
        <v>#VALUE!</v>
      </c>
      <c r="X23" s="35" t="e">
        <f>bdrate($D23:$D26,G23:G26,$L23:$L26,O23:O26)</f>
        <v>#VALUE!</v>
      </c>
      <c r="Y23" s="33" t="e">
        <f>bdrateOld($D23:$D26,E23:E26,$L23:$L26,M23:M26)</f>
        <v>#VALUE!</v>
      </c>
      <c r="Z23" s="34" t="e">
        <f>bdrateOld($D23:$D26,F23:F26,$L23:$L26,N23:N26)</f>
        <v>#VALUE!</v>
      </c>
      <c r="AA23" s="35" t="e">
        <f>bdrateOld($D23:$D26,G23:G26,$L23:$L26,O23:O26)</f>
        <v>#VALUE!</v>
      </c>
    </row>
    <row r="24" spans="1:27" ht="15" x14ac:dyDescent="0.25">
      <c r="A24" s="21"/>
      <c r="B24" s="14"/>
      <c r="C24" s="13">
        <v>32</v>
      </c>
      <c r="D24" s="205"/>
      <c r="E24" s="205"/>
      <c r="F24" s="205"/>
      <c r="G24" s="205"/>
      <c r="H24" s="205"/>
      <c r="I24" s="16">
        <f>Reference!G238</f>
        <v>0</v>
      </c>
      <c r="J24" s="28">
        <f t="shared" si="5"/>
        <v>0</v>
      </c>
      <c r="L24" s="205"/>
      <c r="M24" s="205"/>
      <c r="N24" s="205"/>
      <c r="O24" s="205"/>
      <c r="P24" s="205"/>
      <c r="Q24" s="16">
        <f>Reference!O238</f>
        <v>0</v>
      </c>
      <c r="R24" s="28">
        <f t="shared" si="6"/>
        <v>0</v>
      </c>
      <c r="S24" s="15" t="e">
        <f t="shared" si="3"/>
        <v>#DIV/0!</v>
      </c>
      <c r="T24" s="16" t="e">
        <f t="shared" si="4"/>
        <v>#DIV/0!</v>
      </c>
      <c r="U24" s="36"/>
      <c r="V24" s="37"/>
      <c r="W24" s="38"/>
      <c r="X24" s="38"/>
      <c r="Y24" s="37"/>
      <c r="Z24" s="38"/>
      <c r="AA24" s="39"/>
    </row>
    <row r="25" spans="1:27" ht="15" x14ac:dyDescent="0.25">
      <c r="A25" s="21"/>
      <c r="B25" s="23"/>
      <c r="C25" s="13">
        <v>38</v>
      </c>
      <c r="D25" s="205"/>
      <c r="E25" s="205"/>
      <c r="F25" s="205"/>
      <c r="G25" s="205"/>
      <c r="H25" s="205"/>
      <c r="I25" s="16">
        <f>Reference!G239</f>
        <v>0</v>
      </c>
      <c r="J25" s="28">
        <f t="shared" si="5"/>
        <v>0</v>
      </c>
      <c r="L25" s="205"/>
      <c r="M25" s="205"/>
      <c r="N25" s="205"/>
      <c r="O25" s="205"/>
      <c r="P25" s="205"/>
      <c r="Q25" s="16">
        <f>Reference!O239</f>
        <v>0</v>
      </c>
      <c r="R25" s="28">
        <f t="shared" si="6"/>
        <v>0</v>
      </c>
      <c r="S25" s="15" t="e">
        <f t="shared" si="3"/>
        <v>#DIV/0!</v>
      </c>
      <c r="T25" s="16" t="e">
        <f t="shared" si="4"/>
        <v>#DIV/0!</v>
      </c>
      <c r="U25" s="36"/>
      <c r="V25" s="37"/>
      <c r="W25" s="38"/>
      <c r="X25" s="38"/>
      <c r="Y25" s="37"/>
      <c r="Z25" s="38"/>
      <c r="AA25" s="39"/>
    </row>
    <row r="26" spans="1:27" ht="15.5" thickBot="1" x14ac:dyDescent="0.3">
      <c r="A26" s="21"/>
      <c r="B26" s="24"/>
      <c r="C26" s="18">
        <v>45</v>
      </c>
      <c r="D26" s="205"/>
      <c r="E26" s="205"/>
      <c r="F26" s="205"/>
      <c r="G26" s="205"/>
      <c r="H26" s="205"/>
      <c r="I26" s="20">
        <f>Reference!G240</f>
        <v>0</v>
      </c>
      <c r="J26" s="29">
        <f t="shared" si="5"/>
        <v>0</v>
      </c>
      <c r="L26" s="205"/>
      <c r="M26" s="205"/>
      <c r="N26" s="205"/>
      <c r="O26" s="205"/>
      <c r="P26" s="205"/>
      <c r="Q26" s="20">
        <f>Reference!O240</f>
        <v>0</v>
      </c>
      <c r="R26" s="29">
        <f t="shared" si="6"/>
        <v>0</v>
      </c>
      <c r="S26" s="15" t="e">
        <f t="shared" si="3"/>
        <v>#DIV/0!</v>
      </c>
      <c r="T26" s="16" t="e">
        <f t="shared" si="4"/>
        <v>#DIV/0!</v>
      </c>
      <c r="U26" s="36"/>
      <c r="V26" s="40"/>
      <c r="W26" s="41"/>
      <c r="X26" s="41"/>
      <c r="Y26" s="40"/>
      <c r="Z26" s="41"/>
      <c r="AA26" s="42"/>
    </row>
    <row r="27" spans="1:27" ht="15" x14ac:dyDescent="0.25">
      <c r="A27" s="13"/>
      <c r="B27" s="6" t="s">
        <v>47</v>
      </c>
      <c r="C27" s="10">
        <v>43</v>
      </c>
      <c r="D27" s="205"/>
      <c r="E27" s="205"/>
      <c r="F27" s="205"/>
      <c r="G27" s="205"/>
      <c r="H27" s="205"/>
      <c r="I27" s="12">
        <f>Reference!G241</f>
        <v>0</v>
      </c>
      <c r="J27" s="27">
        <f t="shared" si="5"/>
        <v>0</v>
      </c>
      <c r="L27" s="205"/>
      <c r="M27" s="205"/>
      <c r="N27" s="205"/>
      <c r="O27" s="205"/>
      <c r="P27" s="205"/>
      <c r="Q27" s="12">
        <f>Reference!O241</f>
        <v>0</v>
      </c>
      <c r="R27" s="27">
        <f t="shared" si="6"/>
        <v>0</v>
      </c>
      <c r="S27" s="15" t="e">
        <f t="shared" ref="S27:T46" si="7">P27/H27</f>
        <v>#DIV/0!</v>
      </c>
      <c r="T27" s="16" t="e">
        <f t="shared" si="7"/>
        <v>#DIV/0!</v>
      </c>
      <c r="U27" s="36"/>
      <c r="V27" s="33" t="e">
        <f>bdrate($D27:$D30,E27:E30,$L27:$L30,M27:M30)</f>
        <v>#VALUE!</v>
      </c>
      <c r="W27" s="34" t="e">
        <f>bdrate($D27:$D30,F27:F30,$L27:$L30,N27:N30)</f>
        <v>#VALUE!</v>
      </c>
      <c r="X27" s="35" t="e">
        <f>bdrate($D27:$D30,G27:G30,$L27:$L30,O27:O30)</f>
        <v>#VALUE!</v>
      </c>
      <c r="Y27" s="33" t="e">
        <f>bdrateOld($D27:$D30,E27:E30,$L27:$L30,M27:M30)</f>
        <v>#VALUE!</v>
      </c>
      <c r="Z27" s="34" t="e">
        <f>bdrateOld($D27:$D30,F27:F30,$L27:$L30,N27:N30)</f>
        <v>#VALUE!</v>
      </c>
      <c r="AA27" s="35" t="e">
        <f>bdrateOld($D27:$D30,G27:G30,$L27:$L30,O27:O30)</f>
        <v>#VALUE!</v>
      </c>
    </row>
    <row r="28" spans="1:27" ht="15" x14ac:dyDescent="0.25">
      <c r="A28" s="13"/>
      <c r="B28" s="14"/>
      <c r="C28" s="13">
        <v>48</v>
      </c>
      <c r="D28" s="205"/>
      <c r="E28" s="205"/>
      <c r="F28" s="205"/>
      <c r="G28" s="205"/>
      <c r="H28" s="205"/>
      <c r="I28" s="16">
        <f>Reference!G242</f>
        <v>0</v>
      </c>
      <c r="J28" s="28">
        <f t="shared" si="5"/>
        <v>0</v>
      </c>
      <c r="L28" s="205"/>
      <c r="M28" s="205"/>
      <c r="N28" s="205"/>
      <c r="O28" s="205"/>
      <c r="P28" s="205"/>
      <c r="Q28" s="16">
        <f>Reference!O242</f>
        <v>0</v>
      </c>
      <c r="R28" s="28">
        <f t="shared" si="6"/>
        <v>0</v>
      </c>
      <c r="S28" s="15" t="e">
        <f t="shared" si="7"/>
        <v>#DIV/0!</v>
      </c>
      <c r="T28" s="16" t="e">
        <f t="shared" si="7"/>
        <v>#DIV/0!</v>
      </c>
      <c r="U28" s="36"/>
      <c r="V28" s="37"/>
      <c r="W28" s="38"/>
      <c r="X28" s="39"/>
      <c r="Y28" s="37"/>
      <c r="Z28" s="38"/>
      <c r="AA28" s="39"/>
    </row>
    <row r="29" spans="1:27" ht="15" x14ac:dyDescent="0.25">
      <c r="A29" s="13"/>
      <c r="B29" s="14"/>
      <c r="C29" s="13">
        <v>54</v>
      </c>
      <c r="D29" s="205"/>
      <c r="E29" s="205"/>
      <c r="F29" s="205"/>
      <c r="G29" s="205"/>
      <c r="H29" s="205"/>
      <c r="I29" s="16">
        <f>Reference!G243</f>
        <v>0</v>
      </c>
      <c r="J29" s="28">
        <f t="shared" si="5"/>
        <v>0</v>
      </c>
      <c r="L29" s="205"/>
      <c r="M29" s="205"/>
      <c r="N29" s="205"/>
      <c r="O29" s="205"/>
      <c r="P29" s="205"/>
      <c r="Q29" s="16">
        <f>Reference!O243</f>
        <v>0</v>
      </c>
      <c r="R29" s="28">
        <f t="shared" si="6"/>
        <v>0</v>
      </c>
      <c r="S29" s="15" t="e">
        <f t="shared" si="7"/>
        <v>#DIV/0!</v>
      </c>
      <c r="T29" s="16" t="e">
        <f t="shared" si="7"/>
        <v>#DIV/0!</v>
      </c>
      <c r="U29" s="36"/>
      <c r="V29" s="37"/>
      <c r="W29" s="38"/>
      <c r="X29" s="39"/>
      <c r="Y29" s="37"/>
      <c r="Z29" s="38"/>
      <c r="AA29" s="39"/>
    </row>
    <row r="30" spans="1:27" ht="15.5" thickBot="1" x14ac:dyDescent="0.3">
      <c r="A30" s="13"/>
      <c r="B30" s="17"/>
      <c r="C30" s="18">
        <v>61</v>
      </c>
      <c r="D30" s="205"/>
      <c r="E30" s="205"/>
      <c r="F30" s="205"/>
      <c r="G30" s="205"/>
      <c r="H30" s="205"/>
      <c r="I30" s="20">
        <f>Reference!G244</f>
        <v>0</v>
      </c>
      <c r="J30" s="29">
        <f t="shared" si="5"/>
        <v>0</v>
      </c>
      <c r="L30" s="205"/>
      <c r="M30" s="205"/>
      <c r="N30" s="205"/>
      <c r="O30" s="205"/>
      <c r="P30" s="205"/>
      <c r="Q30" s="20">
        <f>Reference!O244</f>
        <v>0</v>
      </c>
      <c r="R30" s="29">
        <f t="shared" si="6"/>
        <v>0</v>
      </c>
      <c r="S30" s="15" t="e">
        <f t="shared" si="7"/>
        <v>#DIV/0!</v>
      </c>
      <c r="T30" s="16" t="e">
        <f t="shared" si="7"/>
        <v>#DIV/0!</v>
      </c>
      <c r="U30" s="36"/>
      <c r="V30" s="40"/>
      <c r="W30" s="41"/>
      <c r="X30" s="42"/>
      <c r="Y30" s="40"/>
      <c r="Z30" s="41"/>
      <c r="AA30" s="42"/>
    </row>
    <row r="31" spans="1:27" ht="10.5" customHeight="1" x14ac:dyDescent="0.25">
      <c r="A31" s="13"/>
      <c r="B31" s="6" t="s">
        <v>48</v>
      </c>
      <c r="C31" s="10">
        <v>43</v>
      </c>
      <c r="D31" s="205"/>
      <c r="E31" s="205"/>
      <c r="F31" s="205"/>
      <c r="G31" s="205"/>
      <c r="H31" s="205"/>
      <c r="I31" s="12">
        <f>Reference!G245</f>
        <v>0</v>
      </c>
      <c r="J31" s="27">
        <f t="shared" si="5"/>
        <v>0</v>
      </c>
      <c r="L31" s="205"/>
      <c r="M31" s="205"/>
      <c r="N31" s="205"/>
      <c r="O31" s="205"/>
      <c r="P31" s="205"/>
      <c r="Q31" s="12">
        <f>Reference!O245</f>
        <v>0</v>
      </c>
      <c r="R31" s="27">
        <f t="shared" si="6"/>
        <v>0</v>
      </c>
      <c r="S31" s="15" t="e">
        <f t="shared" si="7"/>
        <v>#DIV/0!</v>
      </c>
      <c r="T31" s="16" t="e">
        <f t="shared" si="7"/>
        <v>#DIV/0!</v>
      </c>
      <c r="U31" s="36"/>
      <c r="V31" s="33" t="e">
        <f>bdrate($D31:$D34,E31:E34,$L31:$L34,M31:M34)</f>
        <v>#VALUE!</v>
      </c>
      <c r="W31" s="34" t="e">
        <f>bdrate($D31:$D34,F31:F34,$L31:$L34,N31:N34)</f>
        <v>#VALUE!</v>
      </c>
      <c r="X31" s="34" t="e">
        <f>bdrate($D31:$D34,G31:G34,$L31:$L34,O31:O34)</f>
        <v>#VALUE!</v>
      </c>
      <c r="Y31" s="44" t="e">
        <f>bdrateOld($D31:$D34,E31:E34,$L31:$L34,M31:M34)</f>
        <v>#VALUE!</v>
      </c>
      <c r="Z31" s="45" t="e">
        <f>bdrateOld($D31:$D34,F31:F34,$L31:$L34,N31:N34)</f>
        <v>#VALUE!</v>
      </c>
      <c r="AA31" s="46" t="e">
        <f>bdrateOld($D31:$D34,G31:G34,$L31:$L34,O31:O34)</f>
        <v>#VALUE!</v>
      </c>
    </row>
    <row r="32" spans="1:27" ht="15" x14ac:dyDescent="0.25">
      <c r="A32" s="13"/>
      <c r="B32" s="14"/>
      <c r="C32" s="13">
        <v>48</v>
      </c>
      <c r="D32" s="205"/>
      <c r="E32" s="205"/>
      <c r="F32" s="205"/>
      <c r="G32" s="205"/>
      <c r="H32" s="205"/>
      <c r="I32" s="16">
        <f>Reference!G246</f>
        <v>0</v>
      </c>
      <c r="J32" s="28">
        <f t="shared" si="5"/>
        <v>0</v>
      </c>
      <c r="L32" s="205"/>
      <c r="M32" s="205"/>
      <c r="N32" s="205"/>
      <c r="O32" s="205"/>
      <c r="P32" s="205"/>
      <c r="Q32" s="16">
        <f>Reference!O246</f>
        <v>0</v>
      </c>
      <c r="R32" s="28">
        <f t="shared" si="6"/>
        <v>0</v>
      </c>
      <c r="S32" s="15" t="e">
        <f t="shared" si="7"/>
        <v>#DIV/0!</v>
      </c>
      <c r="T32" s="16" t="e">
        <f t="shared" si="7"/>
        <v>#DIV/0!</v>
      </c>
      <c r="U32" s="36"/>
      <c r="V32" s="37"/>
      <c r="W32" s="38"/>
      <c r="X32" s="38"/>
      <c r="Y32" s="37"/>
      <c r="Z32" s="38"/>
      <c r="AA32" s="39"/>
    </row>
    <row r="33" spans="1:27" ht="15" x14ac:dyDescent="0.25">
      <c r="A33" s="13"/>
      <c r="B33" s="14"/>
      <c r="C33" s="13">
        <v>54</v>
      </c>
      <c r="D33" s="205"/>
      <c r="E33" s="205"/>
      <c r="F33" s="205"/>
      <c r="G33" s="205"/>
      <c r="H33" s="205"/>
      <c r="I33" s="16">
        <f>Reference!G247</f>
        <v>0</v>
      </c>
      <c r="J33" s="28">
        <f t="shared" si="5"/>
        <v>0</v>
      </c>
      <c r="L33" s="205"/>
      <c r="M33" s="205"/>
      <c r="N33" s="205"/>
      <c r="O33" s="205"/>
      <c r="P33" s="205"/>
      <c r="Q33" s="16">
        <f>Reference!O247</f>
        <v>0</v>
      </c>
      <c r="R33" s="28">
        <f t="shared" si="6"/>
        <v>0</v>
      </c>
      <c r="S33" s="15" t="e">
        <f t="shared" si="7"/>
        <v>#DIV/0!</v>
      </c>
      <c r="T33" s="16" t="e">
        <f t="shared" si="7"/>
        <v>#DIV/0!</v>
      </c>
      <c r="U33" s="36"/>
      <c r="V33" s="37"/>
      <c r="W33" s="38"/>
      <c r="X33" s="38"/>
      <c r="Y33" s="37"/>
      <c r="Z33" s="38"/>
      <c r="AA33" s="39"/>
    </row>
    <row r="34" spans="1:27" ht="15.5" thickBot="1" x14ac:dyDescent="0.3">
      <c r="A34" s="13"/>
      <c r="B34" s="17"/>
      <c r="C34" s="18">
        <v>61</v>
      </c>
      <c r="D34" s="205"/>
      <c r="E34" s="205"/>
      <c r="F34" s="205"/>
      <c r="G34" s="205"/>
      <c r="H34" s="205"/>
      <c r="I34" s="20">
        <f>Reference!G248</f>
        <v>0</v>
      </c>
      <c r="J34" s="29">
        <f t="shared" si="5"/>
        <v>0</v>
      </c>
      <c r="L34" s="205"/>
      <c r="M34" s="205"/>
      <c r="N34" s="205"/>
      <c r="O34" s="205"/>
      <c r="P34" s="205"/>
      <c r="Q34" s="20">
        <f>Reference!O248</f>
        <v>0</v>
      </c>
      <c r="R34" s="29">
        <f t="shared" si="6"/>
        <v>0</v>
      </c>
      <c r="S34" s="15" t="e">
        <f t="shared" si="7"/>
        <v>#DIV/0!</v>
      </c>
      <c r="T34" s="16" t="e">
        <f t="shared" si="7"/>
        <v>#DIV/0!</v>
      </c>
      <c r="U34" s="36"/>
      <c r="V34" s="40"/>
      <c r="W34" s="41"/>
      <c r="X34" s="41"/>
      <c r="Y34" s="40"/>
      <c r="Z34" s="41"/>
      <c r="AA34" s="42"/>
    </row>
    <row r="35" spans="1:27" ht="15" x14ac:dyDescent="0.25">
      <c r="A35" s="9" t="s">
        <v>9</v>
      </c>
      <c r="B35" s="6" t="s">
        <v>49</v>
      </c>
      <c r="C35" s="10">
        <v>27</v>
      </c>
      <c r="D35" s="205"/>
      <c r="E35" s="205"/>
      <c r="F35" s="205"/>
      <c r="G35" s="205"/>
      <c r="H35" s="205"/>
      <c r="I35" s="12">
        <f>Reference!G249</f>
        <v>0</v>
      </c>
      <c r="J35" s="27">
        <f>H35/3600</f>
        <v>0</v>
      </c>
      <c r="L35" s="205"/>
      <c r="M35" s="205"/>
      <c r="N35" s="205"/>
      <c r="O35" s="205"/>
      <c r="P35" s="205"/>
      <c r="Q35" s="12">
        <f>Reference!O249</f>
        <v>0</v>
      </c>
      <c r="R35" s="27">
        <f>P35/3600</f>
        <v>0</v>
      </c>
      <c r="S35" s="11" t="e">
        <f t="shared" si="7"/>
        <v>#DIV/0!</v>
      </c>
      <c r="T35" s="12" t="e">
        <f t="shared" si="7"/>
        <v>#DIV/0!</v>
      </c>
      <c r="U35" s="32"/>
      <c r="V35" s="33" t="e">
        <f>bdrate($D35:$D38,E35:E38,$L35:$L38,M35:M38)</f>
        <v>#VALUE!</v>
      </c>
      <c r="W35" s="34" t="e">
        <f>bdrate($D35:$D38,F35:F38,$L35:$L38,N35:N38)</f>
        <v>#VALUE!</v>
      </c>
      <c r="X35" s="34" t="e">
        <f>bdrate($D35:$D38,G35:G38,$L35:$L38,O35:O38)</f>
        <v>#VALUE!</v>
      </c>
      <c r="Y35" s="44" t="e">
        <f>bdrateOld($D35:$D38,E35:E38,$L35:$L38,M35:M38)</f>
        <v>#VALUE!</v>
      </c>
      <c r="Z35" s="45" t="e">
        <f>bdrateOld($D35:$D38,F35:F38,$L35:$L38,N35:N38)</f>
        <v>#VALUE!</v>
      </c>
      <c r="AA35" s="46" t="e">
        <f>bdrateOld($D35:$D38,G35:G38,$L35:$L38,O35:O38)</f>
        <v>#VALUE!</v>
      </c>
    </row>
    <row r="36" spans="1:27" ht="15" x14ac:dyDescent="0.25">
      <c r="A36" s="13" t="s">
        <v>74</v>
      </c>
      <c r="B36" s="14"/>
      <c r="C36" s="13">
        <v>32</v>
      </c>
      <c r="D36" s="205"/>
      <c r="E36" s="205"/>
      <c r="F36" s="205"/>
      <c r="G36" s="205"/>
      <c r="H36" s="205"/>
      <c r="I36" s="16">
        <f>Reference!G250</f>
        <v>0</v>
      </c>
      <c r="J36" s="28">
        <f t="shared" ref="J36:J50" si="8">H36/3600</f>
        <v>0</v>
      </c>
      <c r="L36" s="205"/>
      <c r="M36" s="205"/>
      <c r="N36" s="205"/>
      <c r="O36" s="205"/>
      <c r="P36" s="205"/>
      <c r="Q36" s="16">
        <f>Reference!O250</f>
        <v>0</v>
      </c>
      <c r="R36" s="28">
        <f t="shared" ref="R36:R50" si="9">P36/3600</f>
        <v>0</v>
      </c>
      <c r="S36" s="15" t="e">
        <f t="shared" si="7"/>
        <v>#DIV/0!</v>
      </c>
      <c r="T36" s="16" t="e">
        <f t="shared" si="7"/>
        <v>#DIV/0!</v>
      </c>
      <c r="U36" s="36"/>
      <c r="V36" s="37"/>
      <c r="W36" s="38"/>
      <c r="X36" s="38"/>
      <c r="Y36" s="37"/>
      <c r="Z36" s="38"/>
      <c r="AA36" s="39"/>
    </row>
    <row r="37" spans="1:27" ht="15" x14ac:dyDescent="0.25">
      <c r="A37" s="13"/>
      <c r="B37" s="14"/>
      <c r="C37" s="13">
        <v>38</v>
      </c>
      <c r="D37" s="205"/>
      <c r="E37" s="205"/>
      <c r="F37" s="205"/>
      <c r="G37" s="205"/>
      <c r="H37" s="205"/>
      <c r="I37" s="16">
        <f>Reference!G251</f>
        <v>0</v>
      </c>
      <c r="J37" s="28">
        <f t="shared" si="8"/>
        <v>0</v>
      </c>
      <c r="L37" s="205"/>
      <c r="M37" s="205"/>
      <c r="N37" s="205"/>
      <c r="O37" s="205"/>
      <c r="P37" s="205"/>
      <c r="Q37" s="16">
        <f>Reference!O251</f>
        <v>0</v>
      </c>
      <c r="R37" s="28">
        <f t="shared" si="9"/>
        <v>0</v>
      </c>
      <c r="S37" s="15" t="e">
        <f t="shared" si="7"/>
        <v>#DIV/0!</v>
      </c>
      <c r="T37" s="16" t="e">
        <f t="shared" si="7"/>
        <v>#DIV/0!</v>
      </c>
      <c r="U37" s="36"/>
      <c r="V37" s="37"/>
      <c r="W37" s="38"/>
      <c r="X37" s="38"/>
      <c r="Y37" s="37"/>
      <c r="Z37" s="38"/>
      <c r="AA37" s="39"/>
    </row>
    <row r="38" spans="1:27" ht="15.5" thickBot="1" x14ac:dyDescent="0.3">
      <c r="A38" s="13"/>
      <c r="B38" s="17"/>
      <c r="C38" s="18">
        <v>45</v>
      </c>
      <c r="D38" s="205"/>
      <c r="E38" s="205"/>
      <c r="F38" s="205"/>
      <c r="G38" s="205"/>
      <c r="H38" s="205"/>
      <c r="I38" s="20">
        <f>Reference!G252</f>
        <v>0</v>
      </c>
      <c r="J38" s="29">
        <f t="shared" si="8"/>
        <v>0</v>
      </c>
      <c r="L38" s="205"/>
      <c r="M38" s="205"/>
      <c r="N38" s="205"/>
      <c r="O38" s="205"/>
      <c r="P38" s="205"/>
      <c r="Q38" s="20">
        <f>Reference!O252</f>
        <v>0</v>
      </c>
      <c r="R38" s="29">
        <f t="shared" si="9"/>
        <v>0</v>
      </c>
      <c r="S38" s="15" t="e">
        <f t="shared" si="7"/>
        <v>#DIV/0!</v>
      </c>
      <c r="T38" s="16" t="e">
        <f t="shared" si="7"/>
        <v>#DIV/0!</v>
      </c>
      <c r="U38" s="36"/>
      <c r="V38" s="40"/>
      <c r="W38" s="41"/>
      <c r="X38" s="41"/>
      <c r="Y38" s="40"/>
      <c r="Z38" s="41"/>
      <c r="AA38" s="42"/>
    </row>
    <row r="39" spans="1:27" ht="15" x14ac:dyDescent="0.25">
      <c r="A39" s="13"/>
      <c r="B39" s="6" t="s">
        <v>54</v>
      </c>
      <c r="C39" s="10">
        <v>27</v>
      </c>
      <c r="D39" s="205"/>
      <c r="E39" s="205"/>
      <c r="F39" s="205"/>
      <c r="G39" s="205"/>
      <c r="H39" s="205"/>
      <c r="I39" s="12">
        <f>Reference!G253</f>
        <v>0</v>
      </c>
      <c r="J39" s="27">
        <f t="shared" si="8"/>
        <v>0</v>
      </c>
      <c r="L39" s="205"/>
      <c r="M39" s="205"/>
      <c r="N39" s="205"/>
      <c r="O39" s="205"/>
      <c r="P39" s="205"/>
      <c r="Q39" s="12">
        <f>Reference!O253</f>
        <v>0</v>
      </c>
      <c r="R39" s="27">
        <f t="shared" si="9"/>
        <v>0</v>
      </c>
      <c r="S39" s="15" t="e">
        <f>P39/H39</f>
        <v>#DIV/0!</v>
      </c>
      <c r="T39" s="16" t="e">
        <f t="shared" si="7"/>
        <v>#DIV/0!</v>
      </c>
      <c r="U39" s="36"/>
      <c r="V39" s="33" t="e">
        <f>bdrate($D39:$D42,E39:E42,$L39:$L42,M39:M42)</f>
        <v>#VALUE!</v>
      </c>
      <c r="W39" s="34" t="e">
        <f>bdrate($D39:$D42,F39:F42,$L39:$L42,N39:N42)</f>
        <v>#VALUE!</v>
      </c>
      <c r="X39" s="34" t="e">
        <f>bdrate($D39:$D42,G39:G42,$L39:$L42,O39:O42)</f>
        <v>#VALUE!</v>
      </c>
      <c r="Y39" s="44" t="e">
        <f>bdrateOld($D39:$D42,E39:E42,$L39:$L42,M39:M42)</f>
        <v>#VALUE!</v>
      </c>
      <c r="Z39" s="45" t="e">
        <f>bdrateOld($D39:$D42,F39:F42,$L39:$L42,N39:N42)</f>
        <v>#VALUE!</v>
      </c>
      <c r="AA39" s="46" t="e">
        <f>bdrateOld($D39:$D42,G39:G42,$L39:$L42,O39:O42)</f>
        <v>#VALUE!</v>
      </c>
    </row>
    <row r="40" spans="1:27" ht="15" x14ac:dyDescent="0.25">
      <c r="A40" s="13"/>
      <c r="B40" s="14"/>
      <c r="C40" s="13">
        <v>32</v>
      </c>
      <c r="D40" s="205"/>
      <c r="E40" s="205"/>
      <c r="F40" s="205"/>
      <c r="G40" s="205"/>
      <c r="H40" s="205"/>
      <c r="I40" s="16">
        <f>Reference!G254</f>
        <v>0</v>
      </c>
      <c r="J40" s="28">
        <f t="shared" si="8"/>
        <v>0</v>
      </c>
      <c r="L40" s="205"/>
      <c r="M40" s="205"/>
      <c r="N40" s="205"/>
      <c r="O40" s="205"/>
      <c r="P40" s="205"/>
      <c r="Q40" s="16">
        <f>Reference!O254</f>
        <v>0</v>
      </c>
      <c r="R40" s="28">
        <f t="shared" si="9"/>
        <v>0</v>
      </c>
      <c r="S40" s="15" t="e">
        <f>P40/H40</f>
        <v>#DIV/0!</v>
      </c>
      <c r="T40" s="16" t="e">
        <f t="shared" si="7"/>
        <v>#DIV/0!</v>
      </c>
      <c r="U40" s="36"/>
      <c r="V40" s="37"/>
      <c r="W40" s="38"/>
      <c r="X40" s="38"/>
      <c r="Y40" s="37"/>
      <c r="Z40" s="38"/>
      <c r="AA40" s="39"/>
    </row>
    <row r="41" spans="1:27" ht="15" x14ac:dyDescent="0.25">
      <c r="A41" s="13"/>
      <c r="B41" s="14"/>
      <c r="C41" s="13">
        <v>38</v>
      </c>
      <c r="D41" s="205"/>
      <c r="E41" s="205"/>
      <c r="F41" s="205"/>
      <c r="G41" s="205"/>
      <c r="H41" s="205"/>
      <c r="I41" s="16">
        <f>Reference!G255</f>
        <v>0</v>
      </c>
      <c r="J41" s="28">
        <f t="shared" si="8"/>
        <v>0</v>
      </c>
      <c r="L41" s="205"/>
      <c r="M41" s="205"/>
      <c r="N41" s="205"/>
      <c r="O41" s="205"/>
      <c r="P41" s="205"/>
      <c r="Q41" s="16">
        <f>Reference!O255</f>
        <v>0</v>
      </c>
      <c r="R41" s="28">
        <f t="shared" si="9"/>
        <v>0</v>
      </c>
      <c r="S41" s="15" t="e">
        <f>P41/H41</f>
        <v>#DIV/0!</v>
      </c>
      <c r="T41" s="16" t="e">
        <f t="shared" si="7"/>
        <v>#DIV/0!</v>
      </c>
      <c r="U41" s="36"/>
      <c r="V41" s="50"/>
      <c r="W41" s="38"/>
      <c r="X41" s="38"/>
      <c r="Y41" s="37"/>
      <c r="Z41" s="38"/>
      <c r="AA41" s="39"/>
    </row>
    <row r="42" spans="1:27" ht="15.5" thickBot="1" x14ac:dyDescent="0.3">
      <c r="A42" s="13"/>
      <c r="B42" s="17"/>
      <c r="C42" s="18">
        <v>45</v>
      </c>
      <c r="D42" s="205"/>
      <c r="E42" s="205"/>
      <c r="F42" s="205"/>
      <c r="G42" s="205"/>
      <c r="H42" s="205"/>
      <c r="I42" s="20">
        <f>Reference!G256</f>
        <v>0</v>
      </c>
      <c r="J42" s="29">
        <f t="shared" si="8"/>
        <v>0</v>
      </c>
      <c r="L42" s="205"/>
      <c r="M42" s="205"/>
      <c r="N42" s="205"/>
      <c r="O42" s="205"/>
      <c r="P42" s="205"/>
      <c r="Q42" s="20">
        <f>Reference!O256</f>
        <v>0</v>
      </c>
      <c r="R42" s="29">
        <f t="shared" si="9"/>
        <v>0</v>
      </c>
      <c r="S42" s="15" t="e">
        <f>P42/H42</f>
        <v>#DIV/0!</v>
      </c>
      <c r="T42" s="16" t="e">
        <f t="shared" si="7"/>
        <v>#DIV/0!</v>
      </c>
      <c r="U42" s="36"/>
      <c r="V42" s="40"/>
      <c r="W42" s="41"/>
      <c r="X42" s="41"/>
      <c r="Y42" s="40"/>
      <c r="Z42" s="41"/>
      <c r="AA42" s="42"/>
    </row>
    <row r="43" spans="1:27" ht="15" x14ac:dyDescent="0.25">
      <c r="A43" s="13"/>
      <c r="B43" s="6" t="s">
        <v>75</v>
      </c>
      <c r="C43" s="10">
        <v>27</v>
      </c>
      <c r="D43" s="205"/>
      <c r="E43" s="205"/>
      <c r="F43" s="205"/>
      <c r="G43" s="205"/>
      <c r="H43" s="205"/>
      <c r="I43" s="12">
        <f>Reference!G257</f>
        <v>0</v>
      </c>
      <c r="J43" s="27">
        <f t="shared" si="8"/>
        <v>0</v>
      </c>
      <c r="L43" s="205"/>
      <c r="M43" s="205"/>
      <c r="N43" s="205"/>
      <c r="O43" s="205"/>
      <c r="P43" s="205"/>
      <c r="Q43" s="12">
        <f>Reference!O257</f>
        <v>0</v>
      </c>
      <c r="R43" s="27">
        <f t="shared" si="9"/>
        <v>0</v>
      </c>
      <c r="S43" s="15" t="e">
        <f>P43/H43</f>
        <v>#DIV/0!</v>
      </c>
      <c r="T43" s="16" t="e">
        <f>Q43/I43</f>
        <v>#DIV/0!</v>
      </c>
      <c r="U43" s="36"/>
      <c r="V43" s="33" t="e">
        <f>bdrate($D43:$D46,E43:E46,$L43:$L46,M43:M46)</f>
        <v>#VALUE!</v>
      </c>
      <c r="W43" s="34" t="e">
        <f>bdrate($D43:$D46,F43:F46,$L43:$L46,N43:N46)</f>
        <v>#VALUE!</v>
      </c>
      <c r="X43" s="34" t="e">
        <f>bdrate($D43:$D46,G43:G46,$L43:$L46,O43:O46)</f>
        <v>#VALUE!</v>
      </c>
      <c r="Y43" s="44" t="e">
        <f>bdrateOld($D43:$D46,E43:E46,$L43:$L46,M43:M46)</f>
        <v>#VALUE!</v>
      </c>
      <c r="Z43" s="45" t="e">
        <f>bdrateOld($D43:$D46,F43:F46,$L43:$L46,N43:N46)</f>
        <v>#VALUE!</v>
      </c>
      <c r="AA43" s="46" t="e">
        <f>bdrateOld($D43:$D46,G43:G46,$L43:$L46,O43:O46)</f>
        <v>#VALUE!</v>
      </c>
    </row>
    <row r="44" spans="1:27" ht="15" x14ac:dyDescent="0.25">
      <c r="A44" s="13"/>
      <c r="B44" s="13"/>
      <c r="C44" s="13">
        <v>32</v>
      </c>
      <c r="D44" s="205"/>
      <c r="E44" s="205"/>
      <c r="F44" s="205"/>
      <c r="G44" s="205"/>
      <c r="H44" s="205"/>
      <c r="I44" s="16">
        <f>Reference!G258</f>
        <v>0</v>
      </c>
      <c r="J44" s="28">
        <f t="shared" si="8"/>
        <v>0</v>
      </c>
      <c r="L44" s="205"/>
      <c r="M44" s="205"/>
      <c r="N44" s="205"/>
      <c r="O44" s="205"/>
      <c r="P44" s="205"/>
      <c r="Q44" s="16">
        <f>Reference!O258</f>
        <v>0</v>
      </c>
      <c r="R44" s="28">
        <f t="shared" si="9"/>
        <v>0</v>
      </c>
      <c r="S44" s="15" t="e">
        <f t="shared" ref="S44:S50" si="10">P44/H44</f>
        <v>#DIV/0!</v>
      </c>
      <c r="T44" s="16" t="e">
        <f t="shared" si="7"/>
        <v>#DIV/0!</v>
      </c>
      <c r="U44" s="36"/>
      <c r="V44" s="37"/>
      <c r="W44" s="38"/>
      <c r="X44" s="38"/>
      <c r="Y44" s="37"/>
      <c r="Z44" s="38"/>
      <c r="AA44" s="39"/>
    </row>
    <row r="45" spans="1:27" ht="15" x14ac:dyDescent="0.25">
      <c r="A45" s="13"/>
      <c r="B45" s="13"/>
      <c r="C45" s="13">
        <v>38</v>
      </c>
      <c r="D45" s="205"/>
      <c r="E45" s="205"/>
      <c r="F45" s="205"/>
      <c r="G45" s="205"/>
      <c r="H45" s="205"/>
      <c r="I45" s="16">
        <f>Reference!G259</f>
        <v>0</v>
      </c>
      <c r="J45" s="28">
        <f t="shared" si="8"/>
        <v>0</v>
      </c>
      <c r="L45" s="205"/>
      <c r="M45" s="205"/>
      <c r="N45" s="205"/>
      <c r="O45" s="205"/>
      <c r="P45" s="205"/>
      <c r="Q45" s="16">
        <f>Reference!O259</f>
        <v>0</v>
      </c>
      <c r="R45" s="28">
        <f t="shared" si="9"/>
        <v>0</v>
      </c>
      <c r="S45" s="15" t="e">
        <f t="shared" si="10"/>
        <v>#DIV/0!</v>
      </c>
      <c r="T45" s="16" t="e">
        <f t="shared" si="7"/>
        <v>#DIV/0!</v>
      </c>
      <c r="U45" s="36"/>
      <c r="V45" s="37"/>
      <c r="W45" s="38"/>
      <c r="X45" s="38"/>
      <c r="Y45" s="37"/>
      <c r="Z45" s="38"/>
      <c r="AA45" s="39"/>
    </row>
    <row r="46" spans="1:27" ht="15.5" thickBot="1" x14ac:dyDescent="0.3">
      <c r="A46" s="13"/>
      <c r="B46" s="18"/>
      <c r="C46" s="18">
        <v>45</v>
      </c>
      <c r="D46" s="205"/>
      <c r="E46" s="205"/>
      <c r="F46" s="205"/>
      <c r="G46" s="205"/>
      <c r="H46" s="205"/>
      <c r="I46" s="20">
        <f>Reference!G260</f>
        <v>0</v>
      </c>
      <c r="J46" s="29">
        <f t="shared" si="8"/>
        <v>0</v>
      </c>
      <c r="L46" s="205"/>
      <c r="M46" s="205"/>
      <c r="N46" s="205"/>
      <c r="O46" s="205"/>
      <c r="P46" s="205"/>
      <c r="Q46" s="20">
        <f>Reference!O260</f>
        <v>0</v>
      </c>
      <c r="R46" s="29">
        <f t="shared" si="9"/>
        <v>0</v>
      </c>
      <c r="S46" s="15" t="e">
        <f t="shared" si="10"/>
        <v>#DIV/0!</v>
      </c>
      <c r="T46" s="16" t="e">
        <f t="shared" si="7"/>
        <v>#DIV/0!</v>
      </c>
      <c r="U46" s="36"/>
      <c r="V46" s="40"/>
      <c r="W46" s="41"/>
      <c r="X46" s="41"/>
      <c r="Y46" s="40"/>
      <c r="Z46" s="41"/>
      <c r="AA46" s="42"/>
    </row>
    <row r="47" spans="1:27" ht="15" x14ac:dyDescent="0.25">
      <c r="A47" s="13"/>
      <c r="B47" s="6" t="s">
        <v>76</v>
      </c>
      <c r="C47" s="10">
        <v>27</v>
      </c>
      <c r="D47" s="205"/>
      <c r="E47" s="205"/>
      <c r="F47" s="205"/>
      <c r="G47" s="205"/>
      <c r="H47" s="205"/>
      <c r="I47" s="12">
        <f>Reference!G261</f>
        <v>0</v>
      </c>
      <c r="J47" s="27">
        <f t="shared" si="8"/>
        <v>0</v>
      </c>
      <c r="L47" s="205"/>
      <c r="M47" s="205"/>
      <c r="N47" s="205"/>
      <c r="O47" s="205"/>
      <c r="P47" s="205"/>
      <c r="Q47" s="12">
        <f>Reference!O261</f>
        <v>0</v>
      </c>
      <c r="R47" s="27">
        <f t="shared" si="9"/>
        <v>0</v>
      </c>
      <c r="S47" s="15" t="e">
        <f t="shared" si="10"/>
        <v>#DIV/0!</v>
      </c>
      <c r="T47" s="16" t="e">
        <f t="shared" ref="S47:T62" si="11">Q47/I47</f>
        <v>#DIV/0!</v>
      </c>
      <c r="U47" s="36"/>
      <c r="V47" s="33" t="e">
        <f>bdrate($D47:$D50,E47:E50,$L47:$L50,M47:M50)</f>
        <v>#VALUE!</v>
      </c>
      <c r="W47" s="34" t="e">
        <f>bdrate($D47:$D50,F47:F50,$L47:$L50,N47:N50)</f>
        <v>#VALUE!</v>
      </c>
      <c r="X47" s="35" t="e">
        <f>bdrate($D47:$D50,G47:G50,$L47:$L50,O47:O50)</f>
        <v>#VALUE!</v>
      </c>
      <c r="Y47" s="33" t="e">
        <f>bdrateOld($D47:$D50,E47:E50,$L47:$L50,M47:M50)</f>
        <v>#VALUE!</v>
      </c>
      <c r="Z47" s="34" t="e">
        <f>bdrateOld($D47:$D50,F47:F50,$L47:$L50,N47:N50)</f>
        <v>#VALUE!</v>
      </c>
      <c r="AA47" s="35" t="e">
        <f>bdrateOld($D47:$D50,G47:G50,$L47:$L50,O47:O50)</f>
        <v>#VALUE!</v>
      </c>
    </row>
    <row r="48" spans="1:27" ht="15" x14ac:dyDescent="0.25">
      <c r="A48" s="13"/>
      <c r="B48" s="13"/>
      <c r="C48" s="13">
        <v>32</v>
      </c>
      <c r="D48" s="205"/>
      <c r="E48" s="205"/>
      <c r="F48" s="205"/>
      <c r="G48" s="205"/>
      <c r="H48" s="205"/>
      <c r="I48" s="16">
        <f>Reference!G262</f>
        <v>0</v>
      </c>
      <c r="J48" s="28">
        <f t="shared" si="8"/>
        <v>0</v>
      </c>
      <c r="L48" s="205"/>
      <c r="M48" s="205"/>
      <c r="N48" s="205"/>
      <c r="O48" s="205"/>
      <c r="P48" s="205"/>
      <c r="Q48" s="16">
        <f>Reference!O262</f>
        <v>0</v>
      </c>
      <c r="R48" s="28">
        <f t="shared" si="9"/>
        <v>0</v>
      </c>
      <c r="S48" s="15" t="e">
        <f t="shared" si="10"/>
        <v>#DIV/0!</v>
      </c>
      <c r="T48" s="16" t="e">
        <f t="shared" si="11"/>
        <v>#DIV/0!</v>
      </c>
      <c r="U48" s="36"/>
      <c r="V48" s="37"/>
      <c r="W48" s="38"/>
      <c r="X48" s="39"/>
      <c r="Y48" s="37"/>
      <c r="Z48" s="38"/>
      <c r="AA48" s="39"/>
    </row>
    <row r="49" spans="1:31" ht="15" x14ac:dyDescent="0.25">
      <c r="A49" s="13"/>
      <c r="B49" s="13"/>
      <c r="C49" s="13">
        <v>38</v>
      </c>
      <c r="D49" s="205"/>
      <c r="E49" s="205"/>
      <c r="F49" s="205"/>
      <c r="G49" s="205"/>
      <c r="H49" s="205"/>
      <c r="I49" s="16">
        <f>Reference!G263</f>
        <v>0</v>
      </c>
      <c r="J49" s="28">
        <f t="shared" si="8"/>
        <v>0</v>
      </c>
      <c r="L49" s="205"/>
      <c r="M49" s="205"/>
      <c r="N49" s="205"/>
      <c r="O49" s="205"/>
      <c r="P49" s="205"/>
      <c r="Q49" s="16">
        <f>Reference!O263</f>
        <v>0</v>
      </c>
      <c r="R49" s="28">
        <f t="shared" si="9"/>
        <v>0</v>
      </c>
      <c r="S49" s="15" t="e">
        <f t="shared" si="10"/>
        <v>#DIV/0!</v>
      </c>
      <c r="T49" s="16" t="e">
        <f t="shared" si="11"/>
        <v>#DIV/0!</v>
      </c>
      <c r="U49" s="36"/>
      <c r="V49" s="37"/>
      <c r="W49" s="38"/>
      <c r="X49" s="39"/>
      <c r="Y49" s="37"/>
      <c r="Z49" s="38"/>
      <c r="AA49" s="39"/>
    </row>
    <row r="50" spans="1:31" ht="15.5" thickBot="1" x14ac:dyDescent="0.3">
      <c r="A50" s="18"/>
      <c r="B50" s="18"/>
      <c r="C50" s="18">
        <v>45</v>
      </c>
      <c r="D50" s="205"/>
      <c r="E50" s="205"/>
      <c r="F50" s="205"/>
      <c r="G50" s="205"/>
      <c r="H50" s="205"/>
      <c r="I50" s="20">
        <f>Reference!G264</f>
        <v>0</v>
      </c>
      <c r="J50" s="29">
        <f t="shared" si="8"/>
        <v>0</v>
      </c>
      <c r="L50" s="205"/>
      <c r="M50" s="205"/>
      <c r="N50" s="205"/>
      <c r="O50" s="205"/>
      <c r="P50" s="205"/>
      <c r="Q50" s="20">
        <f>Reference!O264</f>
        <v>0</v>
      </c>
      <c r="R50" s="29">
        <f t="shared" si="9"/>
        <v>0</v>
      </c>
      <c r="S50" s="19" t="e">
        <f t="shared" si="10"/>
        <v>#DIV/0!</v>
      </c>
      <c r="T50" s="20" t="e">
        <f t="shared" si="11"/>
        <v>#DIV/0!</v>
      </c>
      <c r="U50" s="43"/>
      <c r="V50" s="40"/>
      <c r="W50" s="41"/>
      <c r="X50" s="42"/>
      <c r="Y50" s="40"/>
      <c r="Z50" s="41"/>
      <c r="AA50" s="42"/>
    </row>
    <row r="51" spans="1:31" ht="15" x14ac:dyDescent="0.25">
      <c r="A51" s="10" t="s">
        <v>91</v>
      </c>
      <c r="B51" s="6" t="s">
        <v>75</v>
      </c>
      <c r="C51" s="10">
        <v>43</v>
      </c>
      <c r="D51" s="205">
        <v>1402.23</v>
      </c>
      <c r="E51" s="205">
        <v>42.945999999999998</v>
      </c>
      <c r="F51" s="205">
        <v>46.586599999999997</v>
      </c>
      <c r="G51" s="205">
        <v>47.437100000000001</v>
      </c>
      <c r="H51" s="205">
        <v>5181.17</v>
      </c>
      <c r="I51" s="12">
        <f>Reference!G265</f>
        <v>0</v>
      </c>
      <c r="J51" s="27">
        <f t="shared" ref="J51:J58" si="12">H51/3600</f>
        <v>1.439213888888889</v>
      </c>
      <c r="L51" s="205">
        <v>1390.605</v>
      </c>
      <c r="M51" s="205">
        <v>42.920200000000001</v>
      </c>
      <c r="N51" s="205">
        <v>46.594700000000003</v>
      </c>
      <c r="O51" s="205">
        <v>47.424199999999999</v>
      </c>
      <c r="P51" s="205">
        <v>4609.6729999999998</v>
      </c>
      <c r="Q51" s="12">
        <v>0</v>
      </c>
      <c r="R51" s="27">
        <f t="shared" ref="R51:R82" si="13">P51/3600</f>
        <v>1.2804647222222221</v>
      </c>
      <c r="S51" s="11">
        <f t="shared" si="11"/>
        <v>0.8896973077509519</v>
      </c>
      <c r="T51" s="12" t="e">
        <f t="shared" si="11"/>
        <v>#DIV/0!</v>
      </c>
      <c r="U51" s="32"/>
      <c r="V51" s="33">
        <f>bdrate($D51:$D54,E51:E54,$L51:$L54,M51:M54)</f>
        <v>4.1956603542219195E-3</v>
      </c>
      <c r="W51" s="34">
        <f>bdrate($D51:$D54,F51:F54,$L51:$L54,N51:N54)</f>
        <v>-2.4960659654545969E-3</v>
      </c>
      <c r="X51" s="34">
        <f>bdrate($D51:$D54,G51:G54,$L51:$L54,O51:O54)</f>
        <v>1.8067924247664457E-3</v>
      </c>
      <c r="Y51" s="44">
        <f>bdrateOld($D51:$D54,E51:E54,$L51:$L54,M51:M54)</f>
        <v>4.2828359944049321E-3</v>
      </c>
      <c r="Z51" s="45">
        <f>bdrateOld($D51:$D54,F51:F54,$L51:$L54,N51:N54)</f>
        <v>-4.1897129524239851E-3</v>
      </c>
      <c r="AA51" s="46">
        <f>bdrateOld($D51:$D54,G51:G54,$L51:$L54,O51:O54)</f>
        <v>2.1814703557561099E-3</v>
      </c>
      <c r="AC51" s="3">
        <f>P51/H51</f>
        <v>0.8896973077509519</v>
      </c>
    </row>
    <row r="52" spans="1:31" ht="15" x14ac:dyDescent="0.25">
      <c r="A52" s="13"/>
      <c r="B52" s="13"/>
      <c r="C52" s="13">
        <v>48</v>
      </c>
      <c r="D52" s="205">
        <v>774.79499999999996</v>
      </c>
      <c r="E52" s="205">
        <v>41.428699999999999</v>
      </c>
      <c r="F52" s="205">
        <v>45.704900000000002</v>
      </c>
      <c r="G52" s="205">
        <v>46.302700000000002</v>
      </c>
      <c r="H52" s="205">
        <v>3698.51</v>
      </c>
      <c r="I52" s="16">
        <f>Reference!G266</f>
        <v>0</v>
      </c>
      <c r="J52" s="28">
        <f t="shared" si="12"/>
        <v>1.027363888888889</v>
      </c>
      <c r="L52" s="205">
        <v>774.48</v>
      </c>
      <c r="M52" s="205">
        <v>41.413899999999998</v>
      </c>
      <c r="N52" s="205">
        <v>45.690800000000003</v>
      </c>
      <c r="O52" s="205">
        <v>46.304200000000002</v>
      </c>
      <c r="P52" s="205">
        <v>3438.2049999999999</v>
      </c>
      <c r="Q52" s="16">
        <v>0</v>
      </c>
      <c r="R52" s="28">
        <f t="shared" si="13"/>
        <v>0.95505694444444444</v>
      </c>
      <c r="S52" s="15">
        <f t="shared" si="11"/>
        <v>0.92961895466011979</v>
      </c>
      <c r="T52" s="16" t="e">
        <f t="shared" si="11"/>
        <v>#DIV/0!</v>
      </c>
      <c r="U52" s="36"/>
      <c r="V52" s="37"/>
      <c r="W52" s="38"/>
      <c r="X52" s="38"/>
      <c r="Y52" s="37"/>
      <c r="Z52" s="38"/>
      <c r="AA52" s="39"/>
      <c r="AC52" s="3">
        <f t="shared" ref="AC52:AC74" si="14">P52/H52</f>
        <v>0.92961895466011979</v>
      </c>
    </row>
    <row r="53" spans="1:31" ht="15" x14ac:dyDescent="0.25">
      <c r="A53" s="13"/>
      <c r="B53" s="13"/>
      <c r="C53" s="13">
        <v>54</v>
      </c>
      <c r="D53" s="205">
        <v>438.34500000000003</v>
      </c>
      <c r="E53" s="205">
        <v>39.370100000000001</v>
      </c>
      <c r="F53" s="205">
        <v>44.408000000000001</v>
      </c>
      <c r="G53" s="205">
        <v>44.797499999999999</v>
      </c>
      <c r="H53" s="205">
        <v>2082.9490000000001</v>
      </c>
      <c r="I53" s="16">
        <f>Reference!G267</f>
        <v>0</v>
      </c>
      <c r="J53" s="28">
        <f t="shared" si="12"/>
        <v>0.57859694444444443</v>
      </c>
      <c r="L53" s="205">
        <v>440.47500000000002</v>
      </c>
      <c r="M53" s="205">
        <v>39.367600000000003</v>
      </c>
      <c r="N53" s="205">
        <v>44.410600000000002</v>
      </c>
      <c r="O53" s="205">
        <v>44.796100000000003</v>
      </c>
      <c r="P53" s="205">
        <v>2006.258</v>
      </c>
      <c r="Q53" s="16">
        <v>0</v>
      </c>
      <c r="R53" s="28">
        <f t="shared" si="13"/>
        <v>0.55729388888888887</v>
      </c>
      <c r="S53" s="15">
        <f t="shared" si="11"/>
        <v>0.96318152772823529</v>
      </c>
      <c r="T53" s="16" t="e">
        <f t="shared" si="11"/>
        <v>#DIV/0!</v>
      </c>
      <c r="U53" s="36"/>
      <c r="V53" s="37"/>
      <c r="W53" s="38"/>
      <c r="X53" s="38"/>
      <c r="Y53" s="37"/>
      <c r="Z53" s="38"/>
      <c r="AA53" s="39"/>
      <c r="AC53" s="3">
        <f t="shared" si="14"/>
        <v>0.96318152772823529</v>
      </c>
    </row>
    <row r="54" spans="1:31" ht="15.5" thickBot="1" x14ac:dyDescent="0.3">
      <c r="A54" s="13"/>
      <c r="B54" s="18"/>
      <c r="C54" s="18">
        <v>61</v>
      </c>
      <c r="D54" s="205">
        <v>246.42</v>
      </c>
      <c r="E54" s="205">
        <v>36.640799999999999</v>
      </c>
      <c r="F54" s="205">
        <v>42.615299999999998</v>
      </c>
      <c r="G54" s="205">
        <v>42.8827</v>
      </c>
      <c r="H54" s="205">
        <v>1194.76</v>
      </c>
      <c r="I54" s="20">
        <f>Reference!G268</f>
        <v>0</v>
      </c>
      <c r="J54" s="29">
        <f t="shared" si="12"/>
        <v>0.33187777777777777</v>
      </c>
      <c r="L54" s="205">
        <v>246.69</v>
      </c>
      <c r="M54" s="205">
        <v>36.643500000000003</v>
      </c>
      <c r="N54" s="205">
        <v>42.733800000000002</v>
      </c>
      <c r="O54" s="205">
        <v>42.892699999999998</v>
      </c>
      <c r="P54" s="205">
        <v>1160.1099999999999</v>
      </c>
      <c r="Q54" s="20">
        <v>0</v>
      </c>
      <c r="R54" s="28">
        <f t="shared" si="13"/>
        <v>0.32225277777777778</v>
      </c>
      <c r="S54" s="15">
        <f t="shared" si="11"/>
        <v>0.97099835950316371</v>
      </c>
      <c r="T54" s="16" t="e">
        <f t="shared" si="11"/>
        <v>#DIV/0!</v>
      </c>
      <c r="U54" s="36"/>
      <c r="V54" s="40"/>
      <c r="W54" s="41"/>
      <c r="X54" s="41"/>
      <c r="Y54" s="40"/>
      <c r="Z54" s="41"/>
      <c r="AA54" s="42"/>
      <c r="AC54" s="3">
        <f t="shared" si="14"/>
        <v>0.97099835950316371</v>
      </c>
      <c r="AE54" s="3">
        <f>1-GEOMEAN(AC51:AC54)</f>
        <v>6.2182199035362706E-2</v>
      </c>
    </row>
    <row r="55" spans="1:31" ht="15" x14ac:dyDescent="0.25">
      <c r="A55" s="13"/>
      <c r="B55" s="6" t="s">
        <v>76</v>
      </c>
      <c r="C55" s="10">
        <v>43</v>
      </c>
      <c r="D55" s="205">
        <v>2104.29</v>
      </c>
      <c r="E55" s="205">
        <v>42.400100000000002</v>
      </c>
      <c r="F55" s="205">
        <v>48.339500000000001</v>
      </c>
      <c r="G55" s="205">
        <v>47.824100000000001</v>
      </c>
      <c r="H55" s="205">
        <v>8614.1080000000002</v>
      </c>
      <c r="I55" s="12">
        <f>Reference!G269</f>
        <v>0</v>
      </c>
      <c r="J55" s="27">
        <f t="shared" si="12"/>
        <v>2.3928077777777776</v>
      </c>
      <c r="L55" s="205">
        <v>2090.1149999999998</v>
      </c>
      <c r="M55" s="205">
        <v>42.366500000000002</v>
      </c>
      <c r="N55" s="205">
        <v>48.3108</v>
      </c>
      <c r="O55" s="205">
        <v>47.809699999999999</v>
      </c>
      <c r="P55" s="205">
        <v>7458.7129999999997</v>
      </c>
      <c r="Q55" s="12">
        <f>Test!G269</f>
        <v>0</v>
      </c>
      <c r="R55" s="28">
        <f t="shared" si="13"/>
        <v>2.0718647222222222</v>
      </c>
      <c r="S55" s="15">
        <f t="shared" si="11"/>
        <v>0.86587177685722072</v>
      </c>
      <c r="T55" s="16" t="e">
        <f t="shared" si="11"/>
        <v>#DIV/0!</v>
      </c>
      <c r="U55" s="36"/>
      <c r="V55" s="33">
        <f>bdrate($D55:$D58,E55:E58,$L55:$L58,M55:M58)</f>
        <v>2.7935130787357654E-3</v>
      </c>
      <c r="W55" s="34">
        <f>bdrate($D55:$D58,F55:F58,$L55:$L58,N55:N58)</f>
        <v>-1.0519937024048409E-2</v>
      </c>
      <c r="X55" s="34">
        <f>bdrate($D55:$D58,G55:G58,$L55:$L58,O55:O58)</f>
        <v>6.3643636830765793E-3</v>
      </c>
      <c r="Y55" s="44">
        <f>bdrateOld($D55:$D58,E55:E58,$L55:$L58,M55:M58)</f>
        <v>3.2376736572008458E-3</v>
      </c>
      <c r="Z55" s="45">
        <f>bdrateOld($D55:$D58,F55:F58,$L55:$L58,N55:N58)</f>
        <v>-9.2980926228485306E-3</v>
      </c>
      <c r="AA55" s="46">
        <f>bdrateOld($D55:$D58,G55:G58,$L55:$L58,O55:O58)</f>
        <v>9.4621492837945187E-3</v>
      </c>
      <c r="AC55" s="3">
        <f t="shared" si="14"/>
        <v>0.86587177685722072</v>
      </c>
    </row>
    <row r="56" spans="1:31" ht="15" x14ac:dyDescent="0.25">
      <c r="A56" s="13"/>
      <c r="B56" s="13"/>
      <c r="C56" s="13">
        <v>48</v>
      </c>
      <c r="D56" s="205">
        <v>1101.825</v>
      </c>
      <c r="E56" s="205">
        <v>40.758899999999997</v>
      </c>
      <c r="F56" s="205">
        <v>47.496200000000002</v>
      </c>
      <c r="G56" s="205">
        <v>46.497</v>
      </c>
      <c r="H56" s="205">
        <v>4859.58</v>
      </c>
      <c r="I56" s="16">
        <f>Reference!G270</f>
        <v>0</v>
      </c>
      <c r="J56" s="28">
        <f t="shared" si="12"/>
        <v>1.3498833333333333</v>
      </c>
      <c r="L56" s="205">
        <v>1098.3900000000001</v>
      </c>
      <c r="M56" s="205">
        <v>40.746499999999997</v>
      </c>
      <c r="N56" s="205">
        <v>47.503999999999998</v>
      </c>
      <c r="O56" s="205">
        <v>46.498600000000003</v>
      </c>
      <c r="P56" s="205">
        <v>4415.9750000000004</v>
      </c>
      <c r="Q56" s="16">
        <f>Test!G270</f>
        <v>0</v>
      </c>
      <c r="R56" s="28">
        <f t="shared" si="13"/>
        <v>1.2266597222222224</v>
      </c>
      <c r="S56" s="15">
        <f t="shared" si="11"/>
        <v>0.90871536223295024</v>
      </c>
      <c r="T56" s="16" t="e">
        <f t="shared" si="11"/>
        <v>#DIV/0!</v>
      </c>
      <c r="U56" s="36"/>
      <c r="V56" s="37"/>
      <c r="W56" s="38"/>
      <c r="X56" s="38"/>
      <c r="Y56" s="37"/>
      <c r="Z56" s="38"/>
      <c r="AA56" s="39"/>
      <c r="AC56" s="3">
        <f t="shared" si="14"/>
        <v>0.90871536223295024</v>
      </c>
    </row>
    <row r="57" spans="1:31" ht="15" x14ac:dyDescent="0.25">
      <c r="A57" s="13"/>
      <c r="B57" s="13"/>
      <c r="C57" s="13">
        <v>54</v>
      </c>
      <c r="D57" s="205">
        <v>603.87</v>
      </c>
      <c r="E57" s="205">
        <v>38.558</v>
      </c>
      <c r="F57" s="205">
        <v>46.271999999999998</v>
      </c>
      <c r="G57" s="205">
        <v>45.034199999999998</v>
      </c>
      <c r="H57" s="205">
        <v>2134.377</v>
      </c>
      <c r="I57" s="16">
        <f>Reference!G271</f>
        <v>0</v>
      </c>
      <c r="J57" s="28">
        <f t="shared" si="12"/>
        <v>0.59288249999999998</v>
      </c>
      <c r="L57" s="205">
        <v>606.10500000000002</v>
      </c>
      <c r="M57" s="205">
        <v>38.561799999999998</v>
      </c>
      <c r="N57" s="205">
        <v>46.344299999999997</v>
      </c>
      <c r="O57" s="205">
        <v>45.005099999999999</v>
      </c>
      <c r="P57" s="205">
        <v>1992.001</v>
      </c>
      <c r="Q57" s="16">
        <f>Test!G271</f>
        <v>0</v>
      </c>
      <c r="R57" s="28">
        <f t="shared" si="13"/>
        <v>0.55333361111111112</v>
      </c>
      <c r="S57" s="15">
        <f t="shared" si="11"/>
        <v>0.93329388388274426</v>
      </c>
      <c r="T57" s="16" t="e">
        <f t="shared" si="11"/>
        <v>#DIV/0!</v>
      </c>
      <c r="U57" s="36"/>
      <c r="V57" s="37"/>
      <c r="W57" s="38"/>
      <c r="X57" s="38"/>
      <c r="Y57" s="37"/>
      <c r="Z57" s="38"/>
      <c r="AA57" s="39"/>
      <c r="AC57" s="3">
        <f t="shared" si="14"/>
        <v>0.93329388388274426</v>
      </c>
    </row>
    <row r="58" spans="1:31" ht="15.5" thickBot="1" x14ac:dyDescent="0.3">
      <c r="A58" s="18"/>
      <c r="B58" s="18"/>
      <c r="C58" s="18">
        <v>61</v>
      </c>
      <c r="D58" s="205">
        <v>333.96</v>
      </c>
      <c r="E58" s="205">
        <v>35.643599999999999</v>
      </c>
      <c r="F58" s="205">
        <v>44.4071</v>
      </c>
      <c r="G58" s="205">
        <v>42.350299999999997</v>
      </c>
      <c r="H58" s="205">
        <v>1604.829</v>
      </c>
      <c r="I58" s="20">
        <f>Reference!G272</f>
        <v>0</v>
      </c>
      <c r="J58" s="29">
        <f t="shared" si="12"/>
        <v>0.44578583333333333</v>
      </c>
      <c r="L58" s="205">
        <v>334.86</v>
      </c>
      <c r="M58" s="205">
        <v>35.642899999999997</v>
      </c>
      <c r="N58" s="205">
        <v>44.343600000000002</v>
      </c>
      <c r="O58" s="205">
        <v>42.3401</v>
      </c>
      <c r="P58" s="205">
        <v>1524.713</v>
      </c>
      <c r="Q58" s="20">
        <f>Test!G272</f>
        <v>0</v>
      </c>
      <c r="R58" s="28">
        <f t="shared" si="13"/>
        <v>0.42353138888888886</v>
      </c>
      <c r="S58" s="19">
        <f t="shared" si="11"/>
        <v>0.95007817032219632</v>
      </c>
      <c r="T58" s="20" t="e">
        <f t="shared" si="11"/>
        <v>#DIV/0!</v>
      </c>
      <c r="U58" s="43"/>
      <c r="V58" s="40"/>
      <c r="W58" s="41"/>
      <c r="X58" s="41"/>
      <c r="Y58" s="40"/>
      <c r="Z58" s="41"/>
      <c r="AA58" s="42"/>
      <c r="AC58" s="3">
        <f t="shared" si="14"/>
        <v>0.95007817032219632</v>
      </c>
      <c r="AE58" s="3">
        <f>1-GEOMEAN(AC55:AC58)</f>
        <v>8.6066064849022683E-2</v>
      </c>
    </row>
    <row r="59" spans="1:31" ht="15" x14ac:dyDescent="0.25">
      <c r="A59" s="13" t="s">
        <v>93</v>
      </c>
      <c r="B59" s="6" t="s">
        <v>94</v>
      </c>
      <c r="C59" s="10">
        <v>27</v>
      </c>
      <c r="D59" s="205">
        <v>1628.7</v>
      </c>
      <c r="E59" s="205">
        <v>42.169199999999996</v>
      </c>
      <c r="F59" s="205">
        <v>46.323300000000003</v>
      </c>
      <c r="G59" s="205">
        <v>47.493899999999996</v>
      </c>
      <c r="H59" s="205">
        <v>6874.2879999999996</v>
      </c>
      <c r="I59" s="12">
        <f>Reference!G273</f>
        <v>0</v>
      </c>
      <c r="J59" s="27">
        <f t="shared" ref="J59:J74" si="15">H59/3600</f>
        <v>1.9095244444444444</v>
      </c>
      <c r="L59" s="205">
        <v>1621.17</v>
      </c>
      <c r="M59" s="205">
        <v>42.155000000000001</v>
      </c>
      <c r="N59" s="205">
        <v>46.282299999999999</v>
      </c>
      <c r="O59" s="205">
        <v>47.461100000000002</v>
      </c>
      <c r="P59" s="205">
        <v>6048.7560000000003</v>
      </c>
      <c r="Q59" s="12">
        <f>Test!G273</f>
        <v>0</v>
      </c>
      <c r="R59" s="28">
        <f t="shared" si="13"/>
        <v>1.68021</v>
      </c>
      <c r="S59" s="11">
        <f t="shared" si="11"/>
        <v>0.87991018124349762</v>
      </c>
      <c r="T59" s="12" t="e">
        <f t="shared" si="11"/>
        <v>#DIV/0!</v>
      </c>
      <c r="U59" s="32"/>
      <c r="V59" s="33">
        <f>bdrate($D59:$D62,E59:E62,$L59:$L62,M59:M62)</f>
        <v>-4.5511777897078165E-4</v>
      </c>
      <c r="W59" s="34">
        <f>bdrate($D59:$D62,F59:F62,$L59:$L62,N59:N62)</f>
        <v>-2.2025734072862457E-3</v>
      </c>
      <c r="X59" s="34">
        <f>bdrate($D59:$D62,G59:G62,$L59:$L62,O59:O62)</f>
        <v>3.2416021537029494E-3</v>
      </c>
      <c r="Y59" s="44">
        <f>bdrateOld($D59:$D62,E59:E62,$L59:$L62,M59:M62)</f>
        <v>-4.1370314850597278E-4</v>
      </c>
      <c r="Z59" s="45">
        <f>bdrateOld($D59:$D62,F59:F62,$L59:$L62,N59:N62)</f>
        <v>-2.1268814723494067E-3</v>
      </c>
      <c r="AA59" s="46">
        <f>bdrateOld($D59:$D62,G59:G62,$L59:$L62,O59:O62)</f>
        <v>4.2451913595054069E-3</v>
      </c>
      <c r="AC59" s="3">
        <f t="shared" si="14"/>
        <v>0.87991018124349762</v>
      </c>
    </row>
    <row r="60" spans="1:31" ht="15" x14ac:dyDescent="0.25">
      <c r="A60" s="13"/>
      <c r="B60" s="14"/>
      <c r="C60" s="13">
        <v>32</v>
      </c>
      <c r="D60" s="205">
        <v>974.91</v>
      </c>
      <c r="E60" s="205">
        <v>40.634500000000003</v>
      </c>
      <c r="F60" s="205">
        <v>44.930799999999998</v>
      </c>
      <c r="G60" s="205">
        <v>46.1096</v>
      </c>
      <c r="H60" s="205">
        <v>4193.5249999999996</v>
      </c>
      <c r="I60" s="16">
        <f>Reference!G274</f>
        <v>0</v>
      </c>
      <c r="J60" s="28">
        <f t="shared" si="15"/>
        <v>1.1648680555555555</v>
      </c>
      <c r="L60" s="205">
        <v>973.84500000000003</v>
      </c>
      <c r="M60" s="205">
        <v>40.627800000000001</v>
      </c>
      <c r="N60" s="205">
        <v>44.933999999999997</v>
      </c>
      <c r="O60" s="205">
        <v>46.114899999999999</v>
      </c>
      <c r="P60" s="205">
        <v>3829.5569999999998</v>
      </c>
      <c r="Q60" s="16">
        <f>Test!G274</f>
        <v>0</v>
      </c>
      <c r="R60" s="28">
        <f t="shared" si="13"/>
        <v>1.0637658333333333</v>
      </c>
      <c r="S60" s="15">
        <f t="shared" si="11"/>
        <v>0.91320714673216452</v>
      </c>
      <c r="T60" s="16" t="e">
        <f t="shared" si="11"/>
        <v>#DIV/0!</v>
      </c>
      <c r="U60" s="36"/>
      <c r="V60" s="37"/>
      <c r="W60" s="38"/>
      <c r="X60" s="38"/>
      <c r="Y60" s="37"/>
      <c r="Z60" s="38"/>
      <c r="AA60" s="39"/>
      <c r="AC60" s="3">
        <f t="shared" si="14"/>
        <v>0.91320714673216452</v>
      </c>
    </row>
    <row r="61" spans="1:31" ht="15" x14ac:dyDescent="0.25">
      <c r="A61" s="13"/>
      <c r="B61" s="14"/>
      <c r="C61" s="13">
        <v>38</v>
      </c>
      <c r="D61" s="205">
        <v>582.24</v>
      </c>
      <c r="E61" s="205">
        <v>38.445999999999998</v>
      </c>
      <c r="F61" s="205">
        <v>43.273299999999999</v>
      </c>
      <c r="G61" s="205">
        <v>44.439500000000002</v>
      </c>
      <c r="H61" s="205">
        <v>2454.3560000000002</v>
      </c>
      <c r="I61" s="16">
        <f>Reference!G275</f>
        <v>0</v>
      </c>
      <c r="J61" s="28">
        <f t="shared" si="15"/>
        <v>0.68176555555555562</v>
      </c>
      <c r="L61" s="205">
        <v>582.70500000000004</v>
      </c>
      <c r="M61" s="205">
        <v>38.454500000000003</v>
      </c>
      <c r="N61" s="205">
        <v>43.301499999999997</v>
      </c>
      <c r="O61" s="205">
        <v>44.4129</v>
      </c>
      <c r="P61" s="205">
        <v>2384.9949999999999</v>
      </c>
      <c r="Q61" s="16">
        <f>Test!G275</f>
        <v>0</v>
      </c>
      <c r="R61" s="28">
        <f t="shared" si="13"/>
        <v>0.66249861111111108</v>
      </c>
      <c r="S61" s="15">
        <f t="shared" si="11"/>
        <v>0.97173963353319559</v>
      </c>
      <c r="T61" s="16" t="e">
        <f t="shared" si="11"/>
        <v>#DIV/0!</v>
      </c>
      <c r="U61" s="36"/>
      <c r="V61" s="37"/>
      <c r="W61" s="38"/>
      <c r="X61" s="38"/>
      <c r="Y61" s="37"/>
      <c r="Z61" s="38"/>
      <c r="AA61" s="39"/>
      <c r="AC61" s="3">
        <f t="shared" si="14"/>
        <v>0.97173963353319559</v>
      </c>
    </row>
    <row r="62" spans="1:31" ht="15.5" thickBot="1" x14ac:dyDescent="0.3">
      <c r="A62" s="13"/>
      <c r="B62" s="17"/>
      <c r="C62" s="18">
        <v>45</v>
      </c>
      <c r="D62" s="205">
        <v>332.85</v>
      </c>
      <c r="E62" s="205">
        <v>35.486199999999997</v>
      </c>
      <c r="F62" s="205">
        <v>41.203600000000002</v>
      </c>
      <c r="G62" s="205">
        <v>42.245199999999997</v>
      </c>
      <c r="H62" s="205">
        <v>1519.7650000000001</v>
      </c>
      <c r="I62" s="20">
        <f>Reference!G276</f>
        <v>0</v>
      </c>
      <c r="J62" s="29">
        <f t="shared" si="15"/>
        <v>0.42215694444444446</v>
      </c>
      <c r="L62" s="205">
        <v>331.60500000000002</v>
      </c>
      <c r="M62" s="205">
        <v>35.472700000000003</v>
      </c>
      <c r="N62" s="205">
        <v>41.171999999999997</v>
      </c>
      <c r="O62" s="205">
        <v>42.240299999999998</v>
      </c>
      <c r="P62" s="205">
        <v>1477.771</v>
      </c>
      <c r="Q62" s="20">
        <f>Test!G276</f>
        <v>0</v>
      </c>
      <c r="R62" s="28">
        <f t="shared" si="13"/>
        <v>0.41049194444444442</v>
      </c>
      <c r="S62" s="15">
        <f t="shared" si="11"/>
        <v>0.97236809638332233</v>
      </c>
      <c r="T62" s="16" t="e">
        <f t="shared" si="11"/>
        <v>#DIV/0!</v>
      </c>
      <c r="U62" s="36"/>
      <c r="V62" s="40"/>
      <c r="W62" s="41"/>
      <c r="X62" s="41"/>
      <c r="Y62" s="40"/>
      <c r="Z62" s="41"/>
      <c r="AA62" s="42"/>
      <c r="AC62" s="3">
        <f t="shared" si="14"/>
        <v>0.97236809638332233</v>
      </c>
      <c r="AE62" s="3">
        <f>1-GEOMEAN(AC59:AC62)</f>
        <v>6.6537092160747435E-2</v>
      </c>
    </row>
    <row r="63" spans="1:31" ht="15" x14ac:dyDescent="0.25">
      <c r="A63" s="13"/>
      <c r="B63" s="6" t="s">
        <v>95</v>
      </c>
      <c r="C63" s="10">
        <v>27</v>
      </c>
      <c r="D63" s="205">
        <v>1236.6600000000001</v>
      </c>
      <c r="E63" s="205">
        <v>42.382800000000003</v>
      </c>
      <c r="F63" s="205">
        <v>47.685099999999998</v>
      </c>
      <c r="G63" s="205">
        <v>48.298099999999998</v>
      </c>
      <c r="H63" s="205">
        <v>6342.43</v>
      </c>
      <c r="I63" s="12">
        <f>Reference!G277</f>
        <v>0</v>
      </c>
      <c r="J63" s="27">
        <f t="shared" si="15"/>
        <v>1.7617861111111113</v>
      </c>
      <c r="L63" s="205">
        <v>1222.425</v>
      </c>
      <c r="M63" s="205">
        <v>42.365299999999998</v>
      </c>
      <c r="N63" s="205">
        <v>47.682000000000002</v>
      </c>
      <c r="O63" s="205">
        <v>48.286999999999999</v>
      </c>
      <c r="P63" s="205">
        <v>5515.5429999999997</v>
      </c>
      <c r="Q63" s="12">
        <f>Test!G277</f>
        <v>0</v>
      </c>
      <c r="R63" s="28">
        <f t="shared" si="13"/>
        <v>1.5320952777777777</v>
      </c>
      <c r="S63" s="15">
        <f t="shared" ref="S63:S74" si="16">P63/H63</f>
        <v>0.86962615275217847</v>
      </c>
      <c r="T63" s="16" t="e">
        <f t="shared" ref="T63:T74" si="17">Q63/I63</f>
        <v>#DIV/0!</v>
      </c>
      <c r="U63" s="36"/>
      <c r="V63" s="33">
        <f>bdrate($D63:$D66,E63:E66,$L63:$L66,M63:M66)</f>
        <v>6.7150119154990584E-4</v>
      </c>
      <c r="W63" s="34">
        <f>bdrate($D63:$D66,F63:F66,$L63:$L66,N63:N66)</f>
        <v>-9.1165807228029694E-3</v>
      </c>
      <c r="X63" s="34">
        <f>bdrate($D63:$D66,G63:G66,$L63:$L66,O63:O66)</f>
        <v>-1.3539805258491189E-3</v>
      </c>
      <c r="Y63" s="44">
        <f>bdrateOld($D63:$D66,E63:E66,$L63:$L66,M63:M66)</f>
        <v>2.2976618422876349E-4</v>
      </c>
      <c r="Z63" s="45">
        <f>bdrateOld($D63:$D66,F63:F66,$L63:$L66,N63:N66)</f>
        <v>-1.0938071980084119E-2</v>
      </c>
      <c r="AA63" s="46">
        <f>bdrateOld($D63:$D66,G63:G66,$L63:$L66,O63:O66)</f>
        <v>-9.549428916567626E-4</v>
      </c>
      <c r="AC63" s="3">
        <f t="shared" si="14"/>
        <v>0.86962615275217847</v>
      </c>
    </row>
    <row r="64" spans="1:31" ht="15" x14ac:dyDescent="0.25">
      <c r="A64" s="13"/>
      <c r="B64" s="14"/>
      <c r="C64" s="13">
        <v>32</v>
      </c>
      <c r="D64" s="205">
        <v>625.38</v>
      </c>
      <c r="E64" s="205">
        <v>41.180399999999999</v>
      </c>
      <c r="F64" s="205">
        <v>46.418999999999997</v>
      </c>
      <c r="G64" s="205">
        <v>47.223300000000002</v>
      </c>
      <c r="H64" s="205">
        <v>2592.058</v>
      </c>
      <c r="I64" s="16">
        <f>Reference!G278</f>
        <v>0</v>
      </c>
      <c r="J64" s="28">
        <f t="shared" si="15"/>
        <v>0.72001611111111108</v>
      </c>
      <c r="L64" s="205">
        <v>623.89499999999998</v>
      </c>
      <c r="M64" s="205">
        <v>41.166899999999998</v>
      </c>
      <c r="N64" s="205">
        <v>46.423499999999997</v>
      </c>
      <c r="O64" s="205">
        <v>47.2226</v>
      </c>
      <c r="P64" s="205">
        <v>2395.1849999999999</v>
      </c>
      <c r="Q64" s="16">
        <f>Test!G278</f>
        <v>0</v>
      </c>
      <c r="R64" s="28">
        <f t="shared" si="13"/>
        <v>0.66532916666666664</v>
      </c>
      <c r="S64" s="15">
        <f t="shared" si="16"/>
        <v>0.92404761004576286</v>
      </c>
      <c r="T64" s="16" t="e">
        <f t="shared" si="17"/>
        <v>#DIV/0!</v>
      </c>
      <c r="U64" s="36"/>
      <c r="V64" s="37"/>
      <c r="W64" s="38"/>
      <c r="X64" s="38"/>
      <c r="Y64" s="37"/>
      <c r="Z64" s="38"/>
      <c r="AA64" s="39"/>
      <c r="AC64" s="3">
        <f t="shared" si="14"/>
        <v>0.92404761004576286</v>
      </c>
    </row>
    <row r="65" spans="1:31" ht="15" x14ac:dyDescent="0.25">
      <c r="A65" s="13"/>
      <c r="B65" s="14"/>
      <c r="C65" s="13">
        <v>38</v>
      </c>
      <c r="D65" s="205">
        <v>343.03500000000003</v>
      </c>
      <c r="E65" s="205">
        <v>39.456000000000003</v>
      </c>
      <c r="F65" s="205">
        <v>45</v>
      </c>
      <c r="G65" s="205">
        <v>45.6828</v>
      </c>
      <c r="H65" s="205">
        <v>1746.4359999999999</v>
      </c>
      <c r="I65" s="16">
        <f>Reference!G279</f>
        <v>0</v>
      </c>
      <c r="J65" s="28">
        <f t="shared" si="15"/>
        <v>0.48512111111111111</v>
      </c>
      <c r="L65" s="205">
        <v>342.01499999999999</v>
      </c>
      <c r="M65" s="205">
        <v>39.4467</v>
      </c>
      <c r="N65" s="205">
        <v>45.033900000000003</v>
      </c>
      <c r="O65" s="205">
        <v>45.689799999999998</v>
      </c>
      <c r="P65" s="205">
        <v>1669.1869999999999</v>
      </c>
      <c r="Q65" s="16">
        <f>Test!G279</f>
        <v>0</v>
      </c>
      <c r="R65" s="28">
        <f t="shared" si="13"/>
        <v>0.46366305555555554</v>
      </c>
      <c r="S65" s="15">
        <f t="shared" si="16"/>
        <v>0.95576763190864134</v>
      </c>
      <c r="T65" s="16" t="e">
        <f t="shared" si="17"/>
        <v>#DIV/0!</v>
      </c>
      <c r="U65" s="36"/>
      <c r="V65" s="37"/>
      <c r="W65" s="38"/>
      <c r="X65" s="38"/>
      <c r="Y65" s="37"/>
      <c r="Z65" s="38"/>
      <c r="AA65" s="39"/>
      <c r="AC65" s="3">
        <f t="shared" si="14"/>
        <v>0.95576763190864134</v>
      </c>
    </row>
    <row r="66" spans="1:31" ht="15.5" thickBot="1" x14ac:dyDescent="0.3">
      <c r="A66" s="13"/>
      <c r="B66" s="17"/>
      <c r="C66" s="18">
        <v>45</v>
      </c>
      <c r="D66" s="205">
        <v>191.05500000000001</v>
      </c>
      <c r="E66" s="205">
        <v>37.126800000000003</v>
      </c>
      <c r="F66" s="205">
        <v>42.767800000000001</v>
      </c>
      <c r="G66" s="205">
        <v>43.8489</v>
      </c>
      <c r="H66" s="205">
        <v>951.41399999999999</v>
      </c>
      <c r="I66" s="20">
        <f>Reference!G280</f>
        <v>0</v>
      </c>
      <c r="J66" s="29">
        <f t="shared" si="15"/>
        <v>0.26428166666666664</v>
      </c>
      <c r="L66" s="205">
        <v>190.57499999999999</v>
      </c>
      <c r="M66" s="205">
        <v>37.122100000000003</v>
      </c>
      <c r="N66" s="205">
        <v>42.758899999999997</v>
      </c>
      <c r="O66" s="205">
        <v>43.792900000000003</v>
      </c>
      <c r="P66" s="205">
        <v>920.53499999999997</v>
      </c>
      <c r="Q66" s="20">
        <f>Test!G280</f>
        <v>0</v>
      </c>
      <c r="R66" s="28">
        <f t="shared" si="13"/>
        <v>0.25570416666666668</v>
      </c>
      <c r="S66" s="15">
        <f t="shared" si="16"/>
        <v>0.96754409752221426</v>
      </c>
      <c r="T66" s="16" t="e">
        <f t="shared" si="17"/>
        <v>#DIV/0!</v>
      </c>
      <c r="U66" s="36"/>
      <c r="V66" s="40"/>
      <c r="W66" s="41"/>
      <c r="X66" s="41"/>
      <c r="Y66" s="40"/>
      <c r="Z66" s="41"/>
      <c r="AA66" s="42"/>
      <c r="AC66" s="3">
        <f t="shared" si="14"/>
        <v>0.96754409752221426</v>
      </c>
      <c r="AE66" s="3">
        <f>1-GEOMEAN(AC63:AC66)</f>
        <v>7.1541478340973241E-2</v>
      </c>
    </row>
    <row r="67" spans="1:31" ht="15" x14ac:dyDescent="0.25">
      <c r="A67" s="13"/>
      <c r="B67" s="6" t="s">
        <v>96</v>
      </c>
      <c r="C67" s="10">
        <v>27</v>
      </c>
      <c r="D67" s="205">
        <v>1458.2249999999999</v>
      </c>
      <c r="E67" s="205">
        <v>42.688800000000001</v>
      </c>
      <c r="F67" s="205">
        <v>46.868499999999997</v>
      </c>
      <c r="G67" s="205">
        <v>47.838299999999997</v>
      </c>
      <c r="H67" s="205">
        <v>5259.6180000000004</v>
      </c>
      <c r="I67" s="12">
        <f>Reference!G281</f>
        <v>0</v>
      </c>
      <c r="J67" s="27">
        <f t="shared" si="15"/>
        <v>1.4610050000000001</v>
      </c>
      <c r="L67" s="205">
        <v>1456.35</v>
      </c>
      <c r="M67" s="205">
        <v>42.6661</v>
      </c>
      <c r="N67" s="205">
        <v>46.893900000000002</v>
      </c>
      <c r="O67" s="205">
        <v>47.829000000000001</v>
      </c>
      <c r="P67" s="205">
        <v>4689.451</v>
      </c>
      <c r="Q67" s="12">
        <f>Test!G281</f>
        <v>0</v>
      </c>
      <c r="R67" s="28">
        <f t="shared" si="13"/>
        <v>1.3026252777777778</v>
      </c>
      <c r="S67" s="15">
        <f t="shared" si="16"/>
        <v>0.89159535920669519</v>
      </c>
      <c r="T67" s="16" t="e">
        <f t="shared" si="17"/>
        <v>#DIV/0!</v>
      </c>
      <c r="U67" s="36"/>
      <c r="V67" s="33">
        <f>bdrate($D67:$D70,E67:E70,$L67:$L70,M67:M70)</f>
        <v>2.5618206699111745E-3</v>
      </c>
      <c r="W67" s="34">
        <f>bdrate($D67:$D70,F67:F70,$L67:$L70,N67:N70)</f>
        <v>8.9861680907183938E-3</v>
      </c>
      <c r="X67" s="34">
        <f>bdrate($D67:$D70,G67:G70,$L67:$L70,O67:O70)</f>
        <v>6.2099110937130497E-4</v>
      </c>
      <c r="Y67" s="44">
        <f>bdrateOld($D67:$D70,E67:E70,$L67:$L70,M67:M70)</f>
        <v>3.2635749847811368E-3</v>
      </c>
      <c r="Z67" s="45">
        <f>bdrateOld($D67:$D70,F67:F70,$L67:$L70,N67:N70)</f>
        <v>8.2763072132505666E-3</v>
      </c>
      <c r="AA67" s="46">
        <f>bdrateOld($D67:$D70,G67:G70,$L67:$L70,O67:O70)</f>
        <v>4.5240766937371113E-4</v>
      </c>
      <c r="AC67" s="3">
        <f t="shared" si="14"/>
        <v>0.89159535920669519</v>
      </c>
    </row>
    <row r="68" spans="1:31" ht="15" x14ac:dyDescent="0.25">
      <c r="A68" s="13"/>
      <c r="B68" s="14"/>
      <c r="C68" s="13">
        <v>32</v>
      </c>
      <c r="D68" s="205">
        <v>808.53</v>
      </c>
      <c r="E68" s="205">
        <v>41.212000000000003</v>
      </c>
      <c r="F68" s="205">
        <v>45.568399999999997</v>
      </c>
      <c r="G68" s="205">
        <v>46.592599999999997</v>
      </c>
      <c r="H68" s="205">
        <v>3056.01</v>
      </c>
      <c r="I68" s="16">
        <f>Reference!G282</f>
        <v>0</v>
      </c>
      <c r="J68" s="28">
        <f t="shared" si="15"/>
        <v>0.84889166666666671</v>
      </c>
      <c r="L68" s="205">
        <v>806.76</v>
      </c>
      <c r="M68" s="205">
        <v>41.205300000000001</v>
      </c>
      <c r="N68" s="205">
        <v>45.5246</v>
      </c>
      <c r="O68" s="205">
        <v>46.571100000000001</v>
      </c>
      <c r="P68" s="205">
        <v>2806.1460000000002</v>
      </c>
      <c r="Q68" s="16">
        <f>Test!G282</f>
        <v>0</v>
      </c>
      <c r="R68" s="28">
        <f t="shared" si="13"/>
        <v>0.77948500000000009</v>
      </c>
      <c r="S68" s="15">
        <f t="shared" si="16"/>
        <v>0.91823848743950442</v>
      </c>
      <c r="T68" s="16" t="e">
        <f t="shared" si="17"/>
        <v>#DIV/0!</v>
      </c>
      <c r="U68" s="36"/>
      <c r="V68" s="37"/>
      <c r="W68" s="38"/>
      <c r="X68" s="38"/>
      <c r="Y68" s="37"/>
      <c r="Z68" s="38"/>
      <c r="AA68" s="39"/>
      <c r="AC68" s="3">
        <f t="shared" si="14"/>
        <v>0.91823848743950442</v>
      </c>
    </row>
    <row r="69" spans="1:31" ht="15" x14ac:dyDescent="0.25">
      <c r="A69" s="13"/>
      <c r="B69" s="14"/>
      <c r="C69" s="13">
        <v>38</v>
      </c>
      <c r="D69" s="205">
        <v>449.61</v>
      </c>
      <c r="E69" s="205">
        <v>39.2072</v>
      </c>
      <c r="F69" s="205">
        <v>43.93</v>
      </c>
      <c r="G69" s="205">
        <v>45.137700000000002</v>
      </c>
      <c r="H69" s="205">
        <v>1688.097</v>
      </c>
      <c r="I69" s="16">
        <f>Reference!G283</f>
        <v>0</v>
      </c>
      <c r="J69" s="28">
        <f t="shared" si="15"/>
        <v>0.46891583333333331</v>
      </c>
      <c r="L69" s="205">
        <v>450.10500000000002</v>
      </c>
      <c r="M69" s="205">
        <v>39.194600000000001</v>
      </c>
      <c r="N69" s="205">
        <v>43.899299999999997</v>
      </c>
      <c r="O69" s="205">
        <v>45.1404</v>
      </c>
      <c r="P69" s="205">
        <v>1612.741</v>
      </c>
      <c r="Q69" s="16">
        <f>Test!G283</f>
        <v>0</v>
      </c>
      <c r="R69" s="28">
        <f t="shared" si="13"/>
        <v>0.44798361111111112</v>
      </c>
      <c r="S69" s="15">
        <f t="shared" si="16"/>
        <v>0.95536038509635401</v>
      </c>
      <c r="T69" s="16" t="e">
        <f t="shared" si="17"/>
        <v>#DIV/0!</v>
      </c>
      <c r="U69" s="36"/>
      <c r="V69" s="37"/>
      <c r="W69" s="38"/>
      <c r="X69" s="38"/>
      <c r="Y69" s="37"/>
      <c r="Z69" s="38"/>
      <c r="AA69" s="39"/>
      <c r="AC69" s="3">
        <f t="shared" si="14"/>
        <v>0.95536038509635401</v>
      </c>
    </row>
    <row r="70" spans="1:31" ht="15.5" thickBot="1" x14ac:dyDescent="0.3">
      <c r="A70" s="13"/>
      <c r="B70" s="17"/>
      <c r="C70" s="18">
        <v>45</v>
      </c>
      <c r="D70" s="205">
        <v>251.83500000000001</v>
      </c>
      <c r="E70" s="205">
        <v>36.580399999999997</v>
      </c>
      <c r="F70" s="205">
        <v>41.952199999999998</v>
      </c>
      <c r="G70" s="205">
        <v>43.196599999999997</v>
      </c>
      <c r="H70" s="205">
        <v>973.59400000000005</v>
      </c>
      <c r="I70" s="20">
        <f>Reference!G284</f>
        <v>0</v>
      </c>
      <c r="J70" s="29">
        <f t="shared" si="15"/>
        <v>0.27044277777777781</v>
      </c>
      <c r="L70" s="205">
        <v>250.62</v>
      </c>
      <c r="M70" s="205">
        <v>36.5627</v>
      </c>
      <c r="N70" s="205">
        <v>41.920299999999997</v>
      </c>
      <c r="O70" s="205">
        <v>43.225999999999999</v>
      </c>
      <c r="P70" s="205">
        <v>948.34799999999996</v>
      </c>
      <c r="Q70" s="20">
        <f>Test!G284</f>
        <v>0</v>
      </c>
      <c r="R70" s="28">
        <f t="shared" si="13"/>
        <v>0.26343</v>
      </c>
      <c r="S70" s="15">
        <f t="shared" si="16"/>
        <v>0.9740692732288817</v>
      </c>
      <c r="T70" s="16" t="e">
        <f t="shared" si="17"/>
        <v>#DIV/0!</v>
      </c>
      <c r="U70" s="36"/>
      <c r="V70" s="40"/>
      <c r="W70" s="41"/>
      <c r="X70" s="41"/>
      <c r="Y70" s="40"/>
      <c r="Z70" s="41"/>
      <c r="AA70" s="42"/>
      <c r="AC70" s="3">
        <f t="shared" si="14"/>
        <v>0.9740692732288817</v>
      </c>
      <c r="AE70" s="3">
        <f>1-GEOMEAN(AC67:AC70)</f>
        <v>6.5734974908066568E-2</v>
      </c>
    </row>
    <row r="71" spans="1:31" ht="15" x14ac:dyDescent="0.25">
      <c r="A71" s="13"/>
      <c r="B71" s="10" t="s">
        <v>401</v>
      </c>
      <c r="C71" s="10">
        <v>27</v>
      </c>
      <c r="D71" s="205">
        <v>1554.75</v>
      </c>
      <c r="E71" s="205">
        <v>42.3123</v>
      </c>
      <c r="F71" s="205">
        <v>48.291400000000003</v>
      </c>
      <c r="G71" s="205">
        <v>48.579900000000002</v>
      </c>
      <c r="H71" s="205">
        <v>5497.4049999999997</v>
      </c>
      <c r="I71" s="12">
        <f>Reference!G285</f>
        <v>0</v>
      </c>
      <c r="J71" s="27">
        <f t="shared" si="15"/>
        <v>1.5270569444444444</v>
      </c>
      <c r="L71" s="205">
        <v>1545.675</v>
      </c>
      <c r="M71" s="205">
        <v>42.298099999999998</v>
      </c>
      <c r="N71" s="205">
        <v>48.306800000000003</v>
      </c>
      <c r="O71" s="205">
        <v>48.5837</v>
      </c>
      <c r="P71" s="205">
        <v>4895.1239999999998</v>
      </c>
      <c r="Q71" s="12">
        <f>Test!G285</f>
        <v>0</v>
      </c>
      <c r="R71" s="28">
        <f t="shared" si="13"/>
        <v>1.3597566666666665</v>
      </c>
      <c r="S71" s="15">
        <f t="shared" si="16"/>
        <v>0.89044267249729647</v>
      </c>
      <c r="T71" s="16" t="e">
        <f t="shared" si="17"/>
        <v>#DIV/0!</v>
      </c>
      <c r="U71" s="36"/>
      <c r="V71" s="33">
        <f>bdrate($D71:$D74,E71:E74,$L71:$L74,M71:M74)</f>
        <v>-4.6343420358274656E-4</v>
      </c>
      <c r="W71" s="34">
        <f>bdrate($D71:$D74,F71:F74,$L71:$L74,N71:N74)</f>
        <v>-1.7836404639225423E-3</v>
      </c>
      <c r="X71" s="35">
        <f>bdrate($D71:$D74,G71:G74,$L71:$L74,O71:O74)</f>
        <v>3.8578733192793369E-3</v>
      </c>
      <c r="Y71" s="33">
        <f>bdrateOld($D71:$D74,E71:E74,$L71:$L74,M71:M74)</f>
        <v>2.5884775718232333E-4</v>
      </c>
      <c r="Z71" s="34">
        <f>bdrateOld($D71:$D74,F71:F74,$L71:$L74,N71:N74)</f>
        <v>-1.5147939812304445E-3</v>
      </c>
      <c r="AA71" s="35">
        <f>bdrateOld($D71:$D74,G71:G74,$L71:$L74,O71:O74)</f>
        <v>3.5859566490723527E-3</v>
      </c>
      <c r="AC71" s="3">
        <f t="shared" si="14"/>
        <v>0.89044267249729647</v>
      </c>
    </row>
    <row r="72" spans="1:31" ht="15" x14ac:dyDescent="0.25">
      <c r="A72" s="13"/>
      <c r="B72" s="14"/>
      <c r="C72" s="13">
        <v>32</v>
      </c>
      <c r="D72" s="205">
        <v>795.75</v>
      </c>
      <c r="E72" s="205">
        <v>40.859499999999997</v>
      </c>
      <c r="F72" s="205">
        <v>47.238100000000003</v>
      </c>
      <c r="G72" s="205">
        <v>47.401299999999999</v>
      </c>
      <c r="H72" s="205">
        <v>3825.7579999999998</v>
      </c>
      <c r="I72" s="16">
        <f>Reference!G286</f>
        <v>0</v>
      </c>
      <c r="J72" s="28">
        <f t="shared" si="15"/>
        <v>1.0627105555555556</v>
      </c>
      <c r="L72" s="205">
        <v>790.57500000000005</v>
      </c>
      <c r="M72" s="205">
        <v>40.857599999999998</v>
      </c>
      <c r="N72" s="205">
        <v>47.2395</v>
      </c>
      <c r="O72" s="205">
        <v>47.374099999999999</v>
      </c>
      <c r="P72" s="205">
        <v>3596.904</v>
      </c>
      <c r="Q72" s="16">
        <f>Test!G286</f>
        <v>0</v>
      </c>
      <c r="R72" s="28">
        <f t="shared" si="13"/>
        <v>0.99914000000000003</v>
      </c>
      <c r="S72" s="15">
        <f t="shared" si="16"/>
        <v>0.94018074326708589</v>
      </c>
      <c r="T72" s="16" t="e">
        <f t="shared" si="17"/>
        <v>#DIV/0!</v>
      </c>
      <c r="U72" s="36"/>
      <c r="V72" s="37"/>
      <c r="W72" s="38"/>
      <c r="X72" s="39"/>
      <c r="Y72" s="37"/>
      <c r="Z72" s="38"/>
      <c r="AA72" s="39"/>
      <c r="AC72" s="3">
        <f t="shared" si="14"/>
        <v>0.94018074326708589</v>
      </c>
    </row>
    <row r="73" spans="1:31" ht="15" x14ac:dyDescent="0.25">
      <c r="A73" s="13"/>
      <c r="B73" s="14"/>
      <c r="C73" s="13">
        <v>38</v>
      </c>
      <c r="D73" s="205">
        <v>424.65</v>
      </c>
      <c r="E73" s="205">
        <v>38.978999999999999</v>
      </c>
      <c r="F73" s="205">
        <v>45.724400000000003</v>
      </c>
      <c r="G73" s="205">
        <v>45.783299999999997</v>
      </c>
      <c r="H73" s="205">
        <v>1629.241</v>
      </c>
      <c r="I73" s="16">
        <f>Reference!G287</f>
        <v>0</v>
      </c>
      <c r="J73" s="28">
        <f t="shared" si="15"/>
        <v>0.45256694444444445</v>
      </c>
      <c r="L73" s="205">
        <v>425.52</v>
      </c>
      <c r="M73" s="205">
        <v>38.978999999999999</v>
      </c>
      <c r="N73" s="205">
        <v>45.724699999999999</v>
      </c>
      <c r="O73" s="205">
        <v>45.772300000000001</v>
      </c>
      <c r="P73" s="205">
        <v>1551.385</v>
      </c>
      <c r="Q73" s="16">
        <f>Test!G287</f>
        <v>0</v>
      </c>
      <c r="R73" s="28">
        <f t="shared" si="13"/>
        <v>0.43094027777777777</v>
      </c>
      <c r="S73" s="15">
        <f t="shared" si="16"/>
        <v>0.95221333123828822</v>
      </c>
      <c r="T73" s="16" t="e">
        <f t="shared" si="17"/>
        <v>#DIV/0!</v>
      </c>
      <c r="U73" s="36"/>
      <c r="V73" s="37"/>
      <c r="W73" s="38"/>
      <c r="X73" s="39"/>
      <c r="Y73" s="37"/>
      <c r="Z73" s="38"/>
      <c r="AA73" s="39"/>
      <c r="AC73" s="3">
        <f t="shared" si="14"/>
        <v>0.95221333123828822</v>
      </c>
    </row>
    <row r="74" spans="1:31" ht="15.5" thickBot="1" x14ac:dyDescent="0.3">
      <c r="A74" s="18"/>
      <c r="B74" s="17"/>
      <c r="C74" s="18">
        <v>45</v>
      </c>
      <c r="D74" s="205">
        <v>227.625</v>
      </c>
      <c r="E74" s="205">
        <v>36.533900000000003</v>
      </c>
      <c r="F74" s="205">
        <v>43.870199999999997</v>
      </c>
      <c r="G74" s="205">
        <v>44.072800000000001</v>
      </c>
      <c r="H74" s="205">
        <v>910.62</v>
      </c>
      <c r="I74" s="20">
        <f>Reference!G288</f>
        <v>0</v>
      </c>
      <c r="J74" s="29">
        <f t="shared" si="15"/>
        <v>0.25295000000000001</v>
      </c>
      <c r="L74" s="205">
        <v>227.29499999999999</v>
      </c>
      <c r="M74" s="205">
        <v>36.523699999999998</v>
      </c>
      <c r="N74" s="205">
        <v>43.847200000000001</v>
      </c>
      <c r="O74" s="205">
        <v>44.069499999999998</v>
      </c>
      <c r="P74" s="205">
        <v>877.19</v>
      </c>
      <c r="Q74" s="20">
        <f>Test!G288</f>
        <v>0</v>
      </c>
      <c r="R74" s="28">
        <f t="shared" si="13"/>
        <v>0.2436638888888889</v>
      </c>
      <c r="S74" s="19">
        <f t="shared" si="16"/>
        <v>0.96328874832531686</v>
      </c>
      <c r="T74" s="20" t="e">
        <f t="shared" si="17"/>
        <v>#DIV/0!</v>
      </c>
      <c r="U74" s="43"/>
      <c r="V74" s="40"/>
      <c r="W74" s="41"/>
      <c r="X74" s="42"/>
      <c r="Y74" s="40"/>
      <c r="Z74" s="41"/>
      <c r="AA74" s="42"/>
      <c r="AC74" s="3">
        <f t="shared" si="14"/>
        <v>0.96328874832531686</v>
      </c>
      <c r="AE74" s="3">
        <f>1-GEOMEAN(AC71:AC74)</f>
        <v>6.3889718355710889E-2</v>
      </c>
    </row>
    <row r="75" spans="1:31" ht="12" x14ac:dyDescent="0.25">
      <c r="B75" s="47" t="s">
        <v>7</v>
      </c>
      <c r="I75" s="50" t="e">
        <f>GEOMEAN(I3:I18)</f>
        <v>#NUM!</v>
      </c>
      <c r="J75" s="50" t="e">
        <f>GEOMEAN(J3:J18)</f>
        <v>#NUM!</v>
      </c>
      <c r="Q75" s="50" t="e">
        <f>GEOMEAN(Q3:Q18)</f>
        <v>#NUM!</v>
      </c>
      <c r="R75" s="28">
        <f t="shared" si="13"/>
        <v>0</v>
      </c>
      <c r="S75" s="50" t="e">
        <f>GEOMEAN(S7:S18)</f>
        <v>#DIV/0!</v>
      </c>
      <c r="T75" s="50" t="e">
        <f>GEOMEAN(T3:T18)</f>
        <v>#DIV/0!</v>
      </c>
      <c r="V75" s="33" t="e">
        <f>AVERAGE(V7:V18)</f>
        <v>#VALUE!</v>
      </c>
      <c r="W75" s="34" t="e">
        <f>AVERAGE(W7:W18)</f>
        <v>#VALUE!</v>
      </c>
      <c r="X75" s="34" t="e">
        <f>AVERAGE(X7:X18)</f>
        <v>#VALUE!</v>
      </c>
      <c r="Y75" s="33" t="e">
        <f t="shared" ref="Y75:AA75" si="18">AVERAGE(Y3:Y18)</f>
        <v>#VALUE!</v>
      </c>
      <c r="Z75" s="34" t="e">
        <f t="shared" si="18"/>
        <v>#VALUE!</v>
      </c>
      <c r="AA75" s="35" t="e">
        <f t="shared" si="18"/>
        <v>#VALUE!</v>
      </c>
    </row>
    <row r="76" spans="1:31" ht="12" x14ac:dyDescent="0.25">
      <c r="B76" s="47" t="s">
        <v>8</v>
      </c>
      <c r="I76" s="50" t="e">
        <f>GEOMEAN(I19:I34)</f>
        <v>#NUM!</v>
      </c>
      <c r="J76" s="50" t="e">
        <f>GEOMEAN(J19:J34)</f>
        <v>#NUM!</v>
      </c>
      <c r="Q76" s="50" t="e">
        <f>GEOMEAN(Q19:Q34)</f>
        <v>#NUM!</v>
      </c>
      <c r="R76" s="28">
        <f t="shared" si="13"/>
        <v>0</v>
      </c>
      <c r="S76" s="50" t="e">
        <f>GEOMEAN(S39:S42)</f>
        <v>#DIV/0!</v>
      </c>
      <c r="T76" s="50" t="e">
        <f>GEOMEAN(T19:T34)</f>
        <v>#DIV/0!</v>
      </c>
      <c r="V76" s="44" t="e">
        <f>AVERAGE(V19:V34)</f>
        <v>#VALUE!</v>
      </c>
      <c r="W76" s="45" t="e">
        <f t="shared" ref="W76:AA76" si="19">AVERAGE(W19:W34)</f>
        <v>#VALUE!</v>
      </c>
      <c r="X76" s="45" t="e">
        <f>AVERAGE(X19:X34)</f>
        <v>#VALUE!</v>
      </c>
      <c r="Y76" s="44" t="e">
        <f t="shared" si="19"/>
        <v>#VALUE!</v>
      </c>
      <c r="Z76" s="45" t="e">
        <f t="shared" si="19"/>
        <v>#VALUE!</v>
      </c>
      <c r="AA76" s="46" t="e">
        <f t="shared" si="19"/>
        <v>#VALUE!</v>
      </c>
    </row>
    <row r="77" spans="1:31" ht="12" x14ac:dyDescent="0.25">
      <c r="B77" s="47" t="s">
        <v>9</v>
      </c>
      <c r="I77" s="50" t="e">
        <f>GEOMEAN(I35:I50)</f>
        <v>#NUM!</v>
      </c>
      <c r="J77" s="50" t="e">
        <f>GEOMEAN(J35:J50)</f>
        <v>#NUM!</v>
      </c>
      <c r="Q77" s="50" t="e">
        <f>GEOMEAN(Q35:Q50)</f>
        <v>#NUM!</v>
      </c>
      <c r="R77" s="28">
        <f t="shared" si="13"/>
        <v>0</v>
      </c>
      <c r="S77" s="50" t="e">
        <f>GEOMEAN(S35:S50)</f>
        <v>#DIV/0!</v>
      </c>
      <c r="T77" s="50" t="e">
        <f>GEOMEAN(T35:T50)</f>
        <v>#DIV/0!</v>
      </c>
      <c r="V77" s="44" t="e">
        <f>AVERAGE(V35:V50)</f>
        <v>#VALUE!</v>
      </c>
      <c r="W77" s="45" t="e">
        <f t="shared" ref="W77:AA77" si="20">AVERAGE(W35:W50)</f>
        <v>#VALUE!</v>
      </c>
      <c r="X77" s="45" t="e">
        <f t="shared" si="20"/>
        <v>#VALUE!</v>
      </c>
      <c r="Y77" s="44" t="e">
        <f t="shared" si="20"/>
        <v>#VALUE!</v>
      </c>
      <c r="Z77" s="45" t="e">
        <f t="shared" si="20"/>
        <v>#VALUE!</v>
      </c>
      <c r="AA77" s="46" t="e">
        <f t="shared" si="20"/>
        <v>#VALUE!</v>
      </c>
    </row>
    <row r="78" spans="1:31" ht="12" x14ac:dyDescent="0.25">
      <c r="B78" s="47" t="s">
        <v>77</v>
      </c>
      <c r="I78" s="50" t="e">
        <f>GEOMEAN(I51:I58)</f>
        <v>#NUM!</v>
      </c>
      <c r="J78" s="50">
        <f>GEOMEAN(J51:J58)</f>
        <v>0.83765051737563245</v>
      </c>
      <c r="Q78" s="50" t="e">
        <f>GEOMEAN(Q51:Q58)</f>
        <v>#NUM!</v>
      </c>
      <c r="R78" s="28">
        <f t="shared" si="13"/>
        <v>0</v>
      </c>
      <c r="S78" s="50">
        <f>GEOMEAN(S51:S58)</f>
        <v>0.92579885141981411</v>
      </c>
      <c r="T78" s="50" t="e">
        <f>GEOMEAN(T51:T58)</f>
        <v>#DIV/0!</v>
      </c>
      <c r="V78" s="44">
        <f>AVERAGE(V51:V58)</f>
        <v>3.4945867164788424E-3</v>
      </c>
      <c r="W78" s="45">
        <f t="shared" ref="W78:AA78" si="21">AVERAGE(W51:W58)</f>
        <v>-6.508001494751503E-3</v>
      </c>
      <c r="X78" s="45">
        <f t="shared" si="21"/>
        <v>4.0855780539215125E-3</v>
      </c>
      <c r="Y78" s="44">
        <f t="shared" si="21"/>
        <v>3.7602548258028889E-3</v>
      </c>
      <c r="Z78" s="45">
        <f t="shared" si="21"/>
        <v>-6.7439027876362578E-3</v>
      </c>
      <c r="AA78" s="46">
        <f t="shared" si="21"/>
        <v>5.8218098197753143E-3</v>
      </c>
    </row>
    <row r="79" spans="1:31" ht="12" thickBot="1" x14ac:dyDescent="0.3">
      <c r="B79" s="3" t="s">
        <v>84</v>
      </c>
      <c r="I79" s="50" t="e">
        <f>GEOMEAN(I59:I74)</f>
        <v>#NUM!</v>
      </c>
      <c r="J79" s="50">
        <f>GEOMEAN(J59:J74)</f>
        <v>0.69614402080023507</v>
      </c>
      <c r="Q79" s="50" t="e">
        <f>GEOMEAN(Q59:Q74)</f>
        <v>#NUM!</v>
      </c>
      <c r="R79" s="28">
        <f t="shared" si="13"/>
        <v>0</v>
      </c>
      <c r="S79" s="50">
        <f t="shared" ref="S79:T79" si="22">GEOMEAN(S59:S74)</f>
        <v>0.93306987830675703</v>
      </c>
      <c r="T79" s="50" t="e">
        <f t="shared" si="22"/>
        <v>#DIV/0!</v>
      </c>
      <c r="V79" s="44">
        <f>AVERAGE(V59:V74)</f>
        <v>5.7869246972688804E-4</v>
      </c>
      <c r="W79" s="45">
        <f t="shared" ref="W79:AA79" si="23">AVERAGE(W59:W74)</f>
        <v>-1.0291566258233409E-3</v>
      </c>
      <c r="X79" s="45">
        <f t="shared" si="23"/>
        <v>1.5916215141261181E-3</v>
      </c>
      <c r="Y79" s="44">
        <f t="shared" si="23"/>
        <v>8.3462144442156272E-4</v>
      </c>
      <c r="Z79" s="45">
        <f t="shared" si="23"/>
        <v>-1.5758600551033508E-3</v>
      </c>
      <c r="AA79" s="46">
        <f t="shared" si="23"/>
        <v>1.832153196573677E-3</v>
      </c>
    </row>
    <row r="80" spans="1:31" ht="12" thickBot="1" x14ac:dyDescent="0.3">
      <c r="A80" s="48"/>
      <c r="B80" s="49" t="s">
        <v>85</v>
      </c>
      <c r="C80" s="49"/>
      <c r="D80" s="49"/>
      <c r="E80" s="49"/>
      <c r="F80" s="49"/>
      <c r="G80" s="49"/>
      <c r="H80" s="49"/>
      <c r="I80" s="51" t="e">
        <f>GEOMEAN(I3:I50)</f>
        <v>#NUM!</v>
      </c>
      <c r="J80" s="51" t="e">
        <f>GEOMEAN(J3:J50)</f>
        <v>#NUM!</v>
      </c>
      <c r="K80" s="49"/>
      <c r="L80" s="49"/>
      <c r="M80" s="49"/>
      <c r="N80" s="49"/>
      <c r="O80" s="49"/>
      <c r="P80" s="49"/>
      <c r="Q80" s="51" t="e">
        <f>GEOMEAN(Q3:Q50)</f>
        <v>#NUM!</v>
      </c>
      <c r="R80" s="28">
        <f t="shared" si="13"/>
        <v>0</v>
      </c>
      <c r="S80" s="51">
        <f>GEOMEAN(S51:S74)</f>
        <v>0.93063987971392237</v>
      </c>
      <c r="T80" s="51" t="e">
        <f>GEOMEAN(T3:T50)</f>
        <v>#DIV/0!</v>
      </c>
      <c r="U80" s="49"/>
      <c r="V80" s="53">
        <f>AVERAGE(V59:V74)</f>
        <v>5.7869246972688804E-4</v>
      </c>
      <c r="W80" s="54">
        <f>AVERAGE(W59:W74)</f>
        <v>-1.0291566258233409E-3</v>
      </c>
      <c r="X80" s="55">
        <f>AVERAGE(X59:X74)</f>
        <v>1.5916215141261181E-3</v>
      </c>
      <c r="Y80" s="54">
        <f t="shared" ref="Y80:AA80" si="24">AVERAGE(Y51:Y74)</f>
        <v>1.8098325715486714E-3</v>
      </c>
      <c r="Z80" s="54">
        <f t="shared" si="24"/>
        <v>-3.298540965947653E-3</v>
      </c>
      <c r="AA80" s="55">
        <f t="shared" si="24"/>
        <v>3.1620387376408896E-3</v>
      </c>
      <c r="AC80" s="3">
        <f>1-GEOMEAN(AC59:AC74)</f>
        <v>6.6930121693242972E-2</v>
      </c>
    </row>
    <row r="81" spans="2:20" x14ac:dyDescent="0.25">
      <c r="B81" s="3" t="s">
        <v>86</v>
      </c>
      <c r="I81" s="52" t="e">
        <f>GEOMEAN(I3:I58)</f>
        <v>#NUM!</v>
      </c>
      <c r="J81" s="52" t="e">
        <f>GEOMEAN(J3:J58)</f>
        <v>#NUM!</v>
      </c>
      <c r="Q81" s="52" t="e">
        <f>GEOMEAN(Q3:Q58)</f>
        <v>#NUM!</v>
      </c>
      <c r="R81" s="28">
        <f t="shared" si="13"/>
        <v>0</v>
      </c>
      <c r="S81" s="52"/>
      <c r="T81" s="52"/>
    </row>
    <row r="82" spans="2:20" x14ac:dyDescent="0.25">
      <c r="B82" s="3" t="s">
        <v>87</v>
      </c>
      <c r="Q82" s="56" t="e">
        <f>Q81/I81</f>
        <v>#NUM!</v>
      </c>
      <c r="R82" s="28">
        <f t="shared" si="13"/>
        <v>0</v>
      </c>
      <c r="S82" s="56"/>
      <c r="T82" s="56"/>
    </row>
    <row r="83" spans="2:20" x14ac:dyDescent="0.25">
      <c r="B83" s="3" t="s">
        <v>88</v>
      </c>
      <c r="I83" s="52"/>
      <c r="J83" s="52"/>
      <c r="Q83" s="52"/>
      <c r="R83" s="52"/>
      <c r="S83" s="52"/>
      <c r="T83" s="52"/>
    </row>
  </sheetData>
  <mergeCells count="4">
    <mergeCell ref="D1:J1"/>
    <mergeCell ref="L1:R1"/>
    <mergeCell ref="V1:X1"/>
    <mergeCell ref="Y1:AA1"/>
  </mergeCells>
  <phoneticPr fontId="12" type="noConversion"/>
  <conditionalFormatting sqref="V3:X3 V5:X6 W4:X4">
    <cfRule type="cellIs" dxfId="183" priority="49" operator="greaterThan">
      <formula>0.03</formula>
    </cfRule>
    <cfRule type="cellIs" dxfId="182" priority="50" stopIfTrue="1" operator="lessThan">
      <formula>-0.03</formula>
    </cfRule>
  </conditionalFormatting>
  <conditionalFormatting sqref="Y3">
    <cfRule type="cellIs" dxfId="181" priority="47" operator="greaterThan">
      <formula>0.03</formula>
    </cfRule>
    <cfRule type="cellIs" dxfId="180" priority="48" stopIfTrue="1" operator="lessThan">
      <formula>-0.03</formula>
    </cfRule>
  </conditionalFormatting>
  <conditionalFormatting sqref="Z3">
    <cfRule type="cellIs" dxfId="179" priority="45" operator="greaterThan">
      <formula>0.03</formula>
    </cfRule>
    <cfRule type="cellIs" dxfId="178" priority="46" stopIfTrue="1" operator="lessThan">
      <formula>-0.03</formula>
    </cfRule>
  </conditionalFormatting>
  <conditionalFormatting sqref="AA3">
    <cfRule type="cellIs" dxfId="177" priority="43" operator="greaterThan">
      <formula>0.03</formula>
    </cfRule>
    <cfRule type="cellIs" dxfId="176" priority="44" stopIfTrue="1" operator="lessThan">
      <formula>-0.03</formula>
    </cfRule>
  </conditionalFormatting>
  <conditionalFormatting sqref="Y6:Z6">
    <cfRule type="cellIs" dxfId="175" priority="621" operator="greaterThan">
      <formula>0.03</formula>
    </cfRule>
    <cfRule type="cellIs" dxfId="174" priority="622" stopIfTrue="1" operator="lessThan">
      <formula>-0.03</formula>
    </cfRule>
  </conditionalFormatting>
  <conditionalFormatting sqref="V7:X7">
    <cfRule type="cellIs" dxfId="173" priority="57" operator="greaterThan">
      <formula>0.03</formula>
    </cfRule>
    <cfRule type="cellIs" dxfId="172" priority="58" stopIfTrue="1" operator="lessThan">
      <formula>-0.03</formula>
    </cfRule>
  </conditionalFormatting>
  <conditionalFormatting sqref="Y7">
    <cfRule type="cellIs" dxfId="171" priority="55" operator="greaterThan">
      <formula>0.03</formula>
    </cfRule>
    <cfRule type="cellIs" dxfId="170" priority="56" stopIfTrue="1" operator="lessThan">
      <formula>-0.03</formula>
    </cfRule>
  </conditionalFormatting>
  <conditionalFormatting sqref="Z7">
    <cfRule type="cellIs" dxfId="169" priority="53" operator="greaterThan">
      <formula>0.03</formula>
    </cfRule>
    <cfRule type="cellIs" dxfId="168" priority="54" stopIfTrue="1" operator="lessThan">
      <formula>-0.03</formula>
    </cfRule>
  </conditionalFormatting>
  <conditionalFormatting sqref="AA7">
    <cfRule type="cellIs" dxfId="167" priority="51" operator="greaterThan">
      <formula>0.03</formula>
    </cfRule>
    <cfRule type="cellIs" dxfId="166" priority="52" stopIfTrue="1" operator="lessThan">
      <formula>-0.03</formula>
    </cfRule>
  </conditionalFormatting>
  <conditionalFormatting sqref="Y10:Z10">
    <cfRule type="cellIs" dxfId="165" priority="619" operator="greaterThan">
      <formula>0.03</formula>
    </cfRule>
    <cfRule type="cellIs" dxfId="164" priority="620" stopIfTrue="1" operator="lessThan">
      <formula>-0.03</formula>
    </cfRule>
  </conditionalFormatting>
  <conditionalFormatting sqref="V11:X11">
    <cfRule type="cellIs" dxfId="163" priority="65" operator="greaterThan">
      <formula>0.03</formula>
    </cfRule>
    <cfRule type="cellIs" dxfId="162" priority="66" stopIfTrue="1" operator="lessThan">
      <formula>-0.03</formula>
    </cfRule>
  </conditionalFormatting>
  <conditionalFormatting sqref="Y11">
    <cfRule type="cellIs" dxfId="161" priority="63" operator="greaterThan">
      <formula>0.03</formula>
    </cfRule>
    <cfRule type="cellIs" dxfId="160" priority="64" stopIfTrue="1" operator="lessThan">
      <formula>-0.03</formula>
    </cfRule>
  </conditionalFormatting>
  <conditionalFormatting sqref="Z11">
    <cfRule type="cellIs" dxfId="159" priority="61" operator="greaterThan">
      <formula>0.03</formula>
    </cfRule>
    <cfRule type="cellIs" dxfId="158" priority="62" stopIfTrue="1" operator="lessThan">
      <formula>-0.03</formula>
    </cfRule>
  </conditionalFormatting>
  <conditionalFormatting sqref="AA11">
    <cfRule type="cellIs" dxfId="157" priority="59" operator="greaterThan">
      <formula>0.03</formula>
    </cfRule>
    <cfRule type="cellIs" dxfId="156" priority="60" stopIfTrue="1" operator="lessThan">
      <formula>-0.03</formula>
    </cfRule>
  </conditionalFormatting>
  <conditionalFormatting sqref="Y14:Z14">
    <cfRule type="cellIs" dxfId="155" priority="617" operator="greaterThan">
      <formula>0.03</formula>
    </cfRule>
    <cfRule type="cellIs" dxfId="154" priority="618" stopIfTrue="1" operator="lessThan">
      <formula>-0.03</formula>
    </cfRule>
  </conditionalFormatting>
  <conditionalFormatting sqref="V15:X15">
    <cfRule type="cellIs" dxfId="153" priority="73" operator="greaterThan">
      <formula>0.03</formula>
    </cfRule>
    <cfRule type="cellIs" dxfId="152" priority="74" stopIfTrue="1" operator="lessThan">
      <formula>-0.03</formula>
    </cfRule>
  </conditionalFormatting>
  <conditionalFormatting sqref="Y15">
    <cfRule type="cellIs" dxfId="151" priority="71" operator="greaterThan">
      <formula>0.03</formula>
    </cfRule>
    <cfRule type="cellIs" dxfId="150" priority="72" stopIfTrue="1" operator="lessThan">
      <formula>-0.03</formula>
    </cfRule>
  </conditionalFormatting>
  <conditionalFormatting sqref="Z15">
    <cfRule type="cellIs" dxfId="149" priority="69" operator="greaterThan">
      <formula>0.03</formula>
    </cfRule>
    <cfRule type="cellIs" dxfId="148" priority="70" stopIfTrue="1" operator="lessThan">
      <formula>-0.03</formula>
    </cfRule>
  </conditionalFormatting>
  <conditionalFormatting sqref="AA15">
    <cfRule type="cellIs" dxfId="147" priority="67" operator="greaterThan">
      <formula>0.03</formula>
    </cfRule>
    <cfRule type="cellIs" dxfId="146" priority="68" stopIfTrue="1" operator="lessThan">
      <formula>-0.03</formula>
    </cfRule>
  </conditionalFormatting>
  <conditionalFormatting sqref="Y18:Z18">
    <cfRule type="cellIs" dxfId="145" priority="523" operator="greaterThan">
      <formula>0.03</formula>
    </cfRule>
    <cfRule type="cellIs" dxfId="144" priority="524" stopIfTrue="1" operator="lessThan">
      <formula>-0.03</formula>
    </cfRule>
  </conditionalFormatting>
  <conditionalFormatting sqref="V19:X19">
    <cfRule type="cellIs" dxfId="143" priority="81" operator="greaterThan">
      <formula>0.03</formula>
    </cfRule>
    <cfRule type="cellIs" dxfId="142" priority="82" stopIfTrue="1" operator="lessThan">
      <formula>-0.03</formula>
    </cfRule>
  </conditionalFormatting>
  <conditionalFormatting sqref="Y19">
    <cfRule type="cellIs" dxfId="141" priority="79" operator="greaterThan">
      <formula>0.03</formula>
    </cfRule>
    <cfRule type="cellIs" dxfId="140" priority="80" stopIfTrue="1" operator="lessThan">
      <formula>-0.03</formula>
    </cfRule>
  </conditionalFormatting>
  <conditionalFormatting sqref="Z19">
    <cfRule type="cellIs" dxfId="139" priority="77" operator="greaterThan">
      <formula>0.03</formula>
    </cfRule>
    <cfRule type="cellIs" dxfId="138" priority="78" stopIfTrue="1" operator="lessThan">
      <formula>-0.03</formula>
    </cfRule>
  </conditionalFormatting>
  <conditionalFormatting sqref="AA19">
    <cfRule type="cellIs" dxfId="137" priority="75" operator="greaterThan">
      <formula>0.03</formula>
    </cfRule>
    <cfRule type="cellIs" dxfId="136" priority="76" stopIfTrue="1" operator="lessThan">
      <formula>-0.03</formula>
    </cfRule>
  </conditionalFormatting>
  <conditionalFormatting sqref="Y22:Z22">
    <cfRule type="cellIs" dxfId="135" priority="521" operator="greaterThan">
      <formula>0.03</formula>
    </cfRule>
    <cfRule type="cellIs" dxfId="134" priority="522" stopIfTrue="1" operator="lessThan">
      <formula>-0.03</formula>
    </cfRule>
  </conditionalFormatting>
  <conditionalFormatting sqref="V23:X23">
    <cfRule type="cellIs" dxfId="133" priority="89" operator="greaterThan">
      <formula>0.03</formula>
    </cfRule>
    <cfRule type="cellIs" dxfId="132" priority="90" stopIfTrue="1" operator="lessThan">
      <formula>-0.03</formula>
    </cfRule>
  </conditionalFormatting>
  <conditionalFormatting sqref="Y23">
    <cfRule type="cellIs" dxfId="131" priority="87" operator="greaterThan">
      <formula>0.03</formula>
    </cfRule>
    <cfRule type="cellIs" dxfId="130" priority="88" stopIfTrue="1" operator="lessThan">
      <formula>-0.03</formula>
    </cfRule>
  </conditionalFormatting>
  <conditionalFormatting sqref="Z23">
    <cfRule type="cellIs" dxfId="129" priority="85" operator="greaterThan">
      <formula>0.03</formula>
    </cfRule>
    <cfRule type="cellIs" dxfId="128" priority="86" stopIfTrue="1" operator="lessThan">
      <formula>-0.03</formula>
    </cfRule>
  </conditionalFormatting>
  <conditionalFormatting sqref="AA23">
    <cfRule type="cellIs" dxfId="127" priority="83" operator="greaterThan">
      <formula>0.03</formula>
    </cfRule>
    <cfRule type="cellIs" dxfId="126" priority="84" stopIfTrue="1" operator="lessThan">
      <formula>-0.03</formula>
    </cfRule>
  </conditionalFormatting>
  <conditionalFormatting sqref="Y26:Z26">
    <cfRule type="cellIs" dxfId="125" priority="519" operator="greaterThan">
      <formula>0.03</formula>
    </cfRule>
    <cfRule type="cellIs" dxfId="124" priority="520" stopIfTrue="1" operator="lessThan">
      <formula>-0.03</formula>
    </cfRule>
  </conditionalFormatting>
  <conditionalFormatting sqref="Y27">
    <cfRule type="cellIs" dxfId="123" priority="473" operator="greaterThan">
      <formula>0.03</formula>
    </cfRule>
    <cfRule type="cellIs" dxfId="122" priority="474" stopIfTrue="1" operator="lessThan">
      <formula>-0.03</formula>
    </cfRule>
  </conditionalFormatting>
  <conditionalFormatting sqref="Z27">
    <cfRule type="cellIs" dxfId="121" priority="471" operator="greaterThan">
      <formula>0.03</formula>
    </cfRule>
    <cfRule type="cellIs" dxfId="120" priority="472" stopIfTrue="1" operator="lessThan">
      <formula>-0.03</formula>
    </cfRule>
  </conditionalFormatting>
  <conditionalFormatting sqref="AA27">
    <cfRule type="cellIs" dxfId="119" priority="469" operator="greaterThan">
      <formula>0.03</formula>
    </cfRule>
    <cfRule type="cellIs" dxfId="118" priority="470" stopIfTrue="1" operator="lessThan">
      <formula>-0.03</formula>
    </cfRule>
  </conditionalFormatting>
  <conditionalFormatting sqref="Y30:Z30">
    <cfRule type="cellIs" dxfId="117" priority="467" operator="greaterThan">
      <formula>0.03</formula>
    </cfRule>
    <cfRule type="cellIs" dxfId="116" priority="468" stopIfTrue="1" operator="lessThan">
      <formula>-0.03</formula>
    </cfRule>
  </conditionalFormatting>
  <conditionalFormatting sqref="Y31">
    <cfRule type="cellIs" dxfId="115" priority="453" operator="greaterThan">
      <formula>0.03</formula>
    </cfRule>
    <cfRule type="cellIs" dxfId="114" priority="454" stopIfTrue="1" operator="lessThan">
      <formula>-0.03</formula>
    </cfRule>
  </conditionalFormatting>
  <conditionalFormatting sqref="Z31">
    <cfRule type="cellIs" dxfId="113" priority="451" operator="greaterThan">
      <formula>0.03</formula>
    </cfRule>
    <cfRule type="cellIs" dxfId="112" priority="452" stopIfTrue="1" operator="lessThan">
      <formula>-0.03</formula>
    </cfRule>
  </conditionalFormatting>
  <conditionalFormatting sqref="AA31">
    <cfRule type="cellIs" dxfId="111" priority="449" operator="greaterThan">
      <formula>0.03</formula>
    </cfRule>
    <cfRule type="cellIs" dxfId="110" priority="450" stopIfTrue="1" operator="lessThan">
      <formula>-0.03</formula>
    </cfRule>
  </conditionalFormatting>
  <conditionalFormatting sqref="Y34:Z34">
    <cfRule type="cellIs" dxfId="109" priority="441" operator="greaterThan">
      <formula>0.03</formula>
    </cfRule>
    <cfRule type="cellIs" dxfId="108" priority="442" stopIfTrue="1" operator="lessThan">
      <formula>-0.03</formula>
    </cfRule>
  </conditionalFormatting>
  <conditionalFormatting sqref="Y35">
    <cfRule type="cellIs" dxfId="107" priority="447" operator="greaterThan">
      <formula>0.03</formula>
    </cfRule>
    <cfRule type="cellIs" dxfId="106" priority="448" stopIfTrue="1" operator="lessThan">
      <formula>-0.03</formula>
    </cfRule>
  </conditionalFormatting>
  <conditionalFormatting sqref="Z35">
    <cfRule type="cellIs" dxfId="105" priority="445" operator="greaterThan">
      <formula>0.03</formula>
    </cfRule>
    <cfRule type="cellIs" dxfId="104" priority="446" stopIfTrue="1" operator="lessThan">
      <formula>-0.03</formula>
    </cfRule>
  </conditionalFormatting>
  <conditionalFormatting sqref="AA35">
    <cfRule type="cellIs" dxfId="103" priority="443" operator="greaterThan">
      <formula>0.03</formula>
    </cfRule>
    <cfRule type="cellIs" dxfId="102" priority="444" stopIfTrue="1" operator="lessThan">
      <formula>-0.03</formula>
    </cfRule>
  </conditionalFormatting>
  <conditionalFormatting sqref="Y38:Z38">
    <cfRule type="cellIs" dxfId="101" priority="439" operator="greaterThan">
      <formula>0.03</formula>
    </cfRule>
    <cfRule type="cellIs" dxfId="100" priority="440" stopIfTrue="1" operator="lessThan">
      <formula>-0.03</formula>
    </cfRule>
  </conditionalFormatting>
  <conditionalFormatting sqref="Y39">
    <cfRule type="cellIs" dxfId="99" priority="415" operator="greaterThan">
      <formula>0.03</formula>
    </cfRule>
    <cfRule type="cellIs" dxfId="98" priority="416" stopIfTrue="1" operator="lessThan">
      <formula>-0.03</formula>
    </cfRule>
  </conditionalFormatting>
  <conditionalFormatting sqref="Z39">
    <cfRule type="cellIs" dxfId="97" priority="413" operator="greaterThan">
      <formula>0.03</formula>
    </cfRule>
    <cfRule type="cellIs" dxfId="96" priority="414" stopIfTrue="1" operator="lessThan">
      <formula>-0.03</formula>
    </cfRule>
  </conditionalFormatting>
  <conditionalFormatting sqref="AA39">
    <cfRule type="cellIs" dxfId="95" priority="411" operator="greaterThan">
      <formula>0.03</formula>
    </cfRule>
    <cfRule type="cellIs" dxfId="94" priority="412" stopIfTrue="1" operator="lessThan">
      <formula>-0.03</formula>
    </cfRule>
  </conditionalFormatting>
  <conditionalFormatting sqref="Y42:Z42">
    <cfRule type="cellIs" dxfId="93" priority="403" operator="greaterThan">
      <formula>0.03</formula>
    </cfRule>
    <cfRule type="cellIs" dxfId="92" priority="404" stopIfTrue="1" operator="lessThan">
      <formula>-0.03</formula>
    </cfRule>
  </conditionalFormatting>
  <conditionalFormatting sqref="Y43">
    <cfRule type="cellIs" dxfId="91" priority="409" operator="greaterThan">
      <formula>0.03</formula>
    </cfRule>
    <cfRule type="cellIs" dxfId="90" priority="410" stopIfTrue="1" operator="lessThan">
      <formula>-0.03</formula>
    </cfRule>
  </conditionalFormatting>
  <conditionalFormatting sqref="Z43">
    <cfRule type="cellIs" dxfId="89" priority="407" operator="greaterThan">
      <formula>0.03</formula>
    </cfRule>
    <cfRule type="cellIs" dxfId="88" priority="408" stopIfTrue="1" operator="lessThan">
      <formula>-0.03</formula>
    </cfRule>
  </conditionalFormatting>
  <conditionalFormatting sqref="AA43">
    <cfRule type="cellIs" dxfId="87" priority="405" operator="greaterThan">
      <formula>0.03</formula>
    </cfRule>
    <cfRule type="cellIs" dxfId="86" priority="406" stopIfTrue="1" operator="lessThan">
      <formula>-0.03</formula>
    </cfRule>
  </conditionalFormatting>
  <conditionalFormatting sqref="Y46:Z46">
    <cfRule type="cellIs" dxfId="85" priority="401" operator="greaterThan">
      <formula>0.03</formula>
    </cfRule>
    <cfRule type="cellIs" dxfId="84" priority="402" stopIfTrue="1" operator="lessThan">
      <formula>-0.03</formula>
    </cfRule>
  </conditionalFormatting>
  <conditionalFormatting sqref="Y47">
    <cfRule type="cellIs" dxfId="83" priority="377" operator="greaterThan">
      <formula>0.03</formula>
    </cfRule>
    <cfRule type="cellIs" dxfId="82" priority="378" stopIfTrue="1" operator="lessThan">
      <formula>-0.03</formula>
    </cfRule>
  </conditionalFormatting>
  <conditionalFormatting sqref="Z47">
    <cfRule type="cellIs" dxfId="81" priority="375" operator="greaterThan">
      <formula>0.03</formula>
    </cfRule>
    <cfRule type="cellIs" dxfId="80" priority="376" stopIfTrue="1" operator="lessThan">
      <formula>-0.03</formula>
    </cfRule>
  </conditionalFormatting>
  <conditionalFormatting sqref="AA47">
    <cfRule type="cellIs" dxfId="79" priority="373" operator="greaterThan">
      <formula>0.03</formula>
    </cfRule>
    <cfRule type="cellIs" dxfId="78" priority="374" stopIfTrue="1" operator="lessThan">
      <formula>-0.03</formula>
    </cfRule>
  </conditionalFormatting>
  <conditionalFormatting sqref="Y50:Z50">
    <cfRule type="cellIs" dxfId="77" priority="353" operator="greaterThan">
      <formula>0.03</formula>
    </cfRule>
    <cfRule type="cellIs" dxfId="76" priority="354" stopIfTrue="1" operator="lessThan">
      <formula>-0.03</formula>
    </cfRule>
  </conditionalFormatting>
  <conditionalFormatting sqref="Y51">
    <cfRule type="cellIs" dxfId="75" priority="371" operator="greaterThan">
      <formula>0.03</formula>
    </cfRule>
    <cfRule type="cellIs" dxfId="74" priority="372" stopIfTrue="1" operator="lessThan">
      <formula>-0.03</formula>
    </cfRule>
  </conditionalFormatting>
  <conditionalFormatting sqref="Z51">
    <cfRule type="cellIs" dxfId="73" priority="369" operator="greaterThan">
      <formula>0.03</formula>
    </cfRule>
    <cfRule type="cellIs" dxfId="72" priority="370" stopIfTrue="1" operator="lessThan">
      <formula>-0.03</formula>
    </cfRule>
  </conditionalFormatting>
  <conditionalFormatting sqref="AA51">
    <cfRule type="cellIs" dxfId="71" priority="367" operator="greaterThan">
      <formula>0.03</formula>
    </cfRule>
    <cfRule type="cellIs" dxfId="70" priority="368" stopIfTrue="1" operator="lessThan">
      <formula>-0.03</formula>
    </cfRule>
  </conditionalFormatting>
  <conditionalFormatting sqref="Y54:Z54">
    <cfRule type="cellIs" dxfId="69" priority="351" operator="greaterThan">
      <formula>0.03</formula>
    </cfRule>
    <cfRule type="cellIs" dxfId="68" priority="352" stopIfTrue="1" operator="lessThan">
      <formula>-0.03</formula>
    </cfRule>
  </conditionalFormatting>
  <conditionalFormatting sqref="Y55">
    <cfRule type="cellIs" dxfId="67" priority="365" operator="greaterThan">
      <formula>0.03</formula>
    </cfRule>
    <cfRule type="cellIs" dxfId="66" priority="366" stopIfTrue="1" operator="lessThan">
      <formula>-0.03</formula>
    </cfRule>
  </conditionalFormatting>
  <conditionalFormatting sqref="Z55">
    <cfRule type="cellIs" dxfId="65" priority="363" operator="greaterThan">
      <formula>0.03</formula>
    </cfRule>
    <cfRule type="cellIs" dxfId="64" priority="364" stopIfTrue="1" operator="lessThan">
      <formula>-0.03</formula>
    </cfRule>
  </conditionalFormatting>
  <conditionalFormatting sqref="AA55">
    <cfRule type="cellIs" dxfId="63" priority="361" operator="greaterThan">
      <formula>0.03</formula>
    </cfRule>
    <cfRule type="cellIs" dxfId="62" priority="362" stopIfTrue="1" operator="lessThan">
      <formula>-0.03</formula>
    </cfRule>
  </conditionalFormatting>
  <conditionalFormatting sqref="Y58:Z58">
    <cfRule type="cellIs" dxfId="61" priority="349" operator="greaterThan">
      <formula>0.03</formula>
    </cfRule>
    <cfRule type="cellIs" dxfId="60" priority="350" stopIfTrue="1" operator="lessThan">
      <formula>-0.03</formula>
    </cfRule>
  </conditionalFormatting>
  <conditionalFormatting sqref="Y59">
    <cfRule type="cellIs" dxfId="59" priority="39" operator="greaterThan">
      <formula>0.03</formula>
    </cfRule>
    <cfRule type="cellIs" dxfId="58" priority="40" stopIfTrue="1" operator="lessThan">
      <formula>-0.03</formula>
    </cfRule>
  </conditionalFormatting>
  <conditionalFormatting sqref="Z59">
    <cfRule type="cellIs" dxfId="57" priority="37" operator="greaterThan">
      <formula>0.03</formula>
    </cfRule>
    <cfRule type="cellIs" dxfId="56" priority="38" stopIfTrue="1" operator="lessThan">
      <formula>-0.03</formula>
    </cfRule>
  </conditionalFormatting>
  <conditionalFormatting sqref="AA59">
    <cfRule type="cellIs" dxfId="55" priority="35" operator="greaterThan">
      <formula>0.03</formula>
    </cfRule>
    <cfRule type="cellIs" dxfId="54" priority="36" stopIfTrue="1" operator="lessThan">
      <formula>-0.03</formula>
    </cfRule>
  </conditionalFormatting>
  <conditionalFormatting sqref="Y62:Z62">
    <cfRule type="cellIs" dxfId="53" priority="33" operator="greaterThan">
      <formula>0.03</formula>
    </cfRule>
    <cfRule type="cellIs" dxfId="52" priority="34" stopIfTrue="1" operator="lessThan">
      <formula>-0.03</formula>
    </cfRule>
  </conditionalFormatting>
  <conditionalFormatting sqref="Y63">
    <cfRule type="cellIs" dxfId="51" priority="29" operator="greaterThan">
      <formula>0.03</formula>
    </cfRule>
    <cfRule type="cellIs" dxfId="50" priority="30" stopIfTrue="1" operator="lessThan">
      <formula>-0.03</formula>
    </cfRule>
  </conditionalFormatting>
  <conditionalFormatting sqref="Z63">
    <cfRule type="cellIs" dxfId="49" priority="27" operator="greaterThan">
      <formula>0.03</formula>
    </cfRule>
    <cfRule type="cellIs" dxfId="48" priority="28" stopIfTrue="1" operator="lessThan">
      <formula>-0.03</formula>
    </cfRule>
  </conditionalFormatting>
  <conditionalFormatting sqref="AA63">
    <cfRule type="cellIs" dxfId="47" priority="25" operator="greaterThan">
      <formula>0.03</formula>
    </cfRule>
    <cfRule type="cellIs" dxfId="46" priority="26" stopIfTrue="1" operator="lessThan">
      <formula>-0.03</formula>
    </cfRule>
  </conditionalFormatting>
  <conditionalFormatting sqref="Y66:Z66">
    <cfRule type="cellIs" dxfId="45" priority="17" operator="greaterThan">
      <formula>0.03</formula>
    </cfRule>
    <cfRule type="cellIs" dxfId="44" priority="18" stopIfTrue="1" operator="lessThan">
      <formula>-0.03</formula>
    </cfRule>
  </conditionalFormatting>
  <conditionalFormatting sqref="Y67">
    <cfRule type="cellIs" dxfId="43" priority="23" operator="greaterThan">
      <formula>0.03</formula>
    </cfRule>
    <cfRule type="cellIs" dxfId="42" priority="24" stopIfTrue="1" operator="lessThan">
      <formula>-0.03</formula>
    </cfRule>
  </conditionalFormatting>
  <conditionalFormatting sqref="Z67">
    <cfRule type="cellIs" dxfId="41" priority="21" operator="greaterThan">
      <formula>0.03</formula>
    </cfRule>
    <cfRule type="cellIs" dxfId="40" priority="22" stopIfTrue="1" operator="lessThan">
      <formula>-0.03</formula>
    </cfRule>
  </conditionalFormatting>
  <conditionalFormatting sqref="AA67">
    <cfRule type="cellIs" dxfId="39" priority="19" operator="greaterThan">
      <formula>0.03</formula>
    </cfRule>
    <cfRule type="cellIs" dxfId="38" priority="20" stopIfTrue="1" operator="lessThan">
      <formula>-0.03</formula>
    </cfRule>
  </conditionalFormatting>
  <conditionalFormatting sqref="Y70:Z70">
    <cfRule type="cellIs" dxfId="37" priority="15" operator="greaterThan">
      <formula>0.03</formula>
    </cfRule>
    <cfRule type="cellIs" dxfId="36" priority="16" stopIfTrue="1" operator="lessThan">
      <formula>-0.03</formula>
    </cfRule>
  </conditionalFormatting>
  <conditionalFormatting sqref="Y71">
    <cfRule type="cellIs" dxfId="35" priority="11" operator="greaterThan">
      <formula>0.03</formula>
    </cfRule>
    <cfRule type="cellIs" dxfId="34" priority="12" stopIfTrue="1" operator="lessThan">
      <formula>-0.03</formula>
    </cfRule>
  </conditionalFormatting>
  <conditionalFormatting sqref="Z71">
    <cfRule type="cellIs" dxfId="33" priority="9" operator="greaterThan">
      <formula>0.03</formula>
    </cfRule>
    <cfRule type="cellIs" dxfId="32" priority="10" stopIfTrue="1" operator="lessThan">
      <formula>-0.03</formula>
    </cfRule>
  </conditionalFormatting>
  <conditionalFormatting sqref="AA71">
    <cfRule type="cellIs" dxfId="31" priority="7" operator="greaterThan">
      <formula>0.03</formula>
    </cfRule>
    <cfRule type="cellIs" dxfId="30" priority="8" stopIfTrue="1" operator="lessThan">
      <formula>-0.03</formula>
    </cfRule>
  </conditionalFormatting>
  <conditionalFormatting sqref="Y74:Z74">
    <cfRule type="cellIs" dxfId="29" priority="5" operator="greaterThan">
      <formula>0.03</formula>
    </cfRule>
    <cfRule type="cellIs" dxfId="28" priority="6" stopIfTrue="1" operator="lessThan">
      <formula>-0.03</formula>
    </cfRule>
  </conditionalFormatting>
  <conditionalFormatting sqref="V79:X79">
    <cfRule type="cellIs" dxfId="27" priority="3" operator="greaterThan">
      <formula>0.03</formula>
    </cfRule>
    <cfRule type="cellIs" dxfId="26" priority="4" stopIfTrue="1" operator="lessThan">
      <formula>-0.03</formula>
    </cfRule>
  </conditionalFormatting>
  <conditionalFormatting sqref="Y79:AA79">
    <cfRule type="cellIs" dxfId="25" priority="1" operator="greaterThan">
      <formula>0.03</formula>
    </cfRule>
    <cfRule type="cellIs" dxfId="24" priority="2" stopIfTrue="1" operator="lessThan">
      <formula>-0.03</formula>
    </cfRule>
  </conditionalFormatting>
  <conditionalFormatting sqref="V80:AA80">
    <cfRule type="cellIs" dxfId="23" priority="91" operator="greaterThan">
      <formula>0.03</formula>
    </cfRule>
    <cfRule type="cellIs" dxfId="22" priority="92" stopIfTrue="1" operator="lessThan">
      <formula>-0.03</formula>
    </cfRule>
  </conditionalFormatting>
  <conditionalFormatting sqref="V12:X14 V9:X10 W8:X8">
    <cfRule type="cellIs" dxfId="21" priority="647" operator="greaterThan">
      <formula>0.03</formula>
    </cfRule>
    <cfRule type="cellIs" dxfId="20" priority="648" stopIfTrue="1" operator="lessThan">
      <formula>-0.03</formula>
    </cfRule>
  </conditionalFormatting>
  <conditionalFormatting sqref="V16:X18 V24:X26 V20:X22">
    <cfRule type="cellIs" dxfId="19" priority="549" operator="greaterThan">
      <formula>0.03</formula>
    </cfRule>
    <cfRule type="cellIs" dxfId="18" priority="550" stopIfTrue="1" operator="lessThan">
      <formula>-0.03</formula>
    </cfRule>
  </conditionalFormatting>
  <conditionalFormatting sqref="V27:X30">
    <cfRule type="cellIs" dxfId="17" priority="475" operator="greaterThan">
      <formula>0.03</formula>
    </cfRule>
    <cfRule type="cellIs" dxfId="16" priority="476" stopIfTrue="1" operator="lessThan">
      <formula>-0.03</formula>
    </cfRule>
  </conditionalFormatting>
  <conditionalFormatting sqref="V31:X38">
    <cfRule type="cellIs" dxfId="15" priority="455" operator="greaterThan">
      <formula>0.03</formula>
    </cfRule>
    <cfRule type="cellIs" dxfId="14" priority="456" stopIfTrue="1" operator="lessThan">
      <formula>-0.03</formula>
    </cfRule>
  </conditionalFormatting>
  <conditionalFormatting sqref="V39:X40 V42:X46 W41:X41">
    <cfRule type="cellIs" dxfId="13" priority="417" operator="greaterThan">
      <formula>0.03</formula>
    </cfRule>
    <cfRule type="cellIs" dxfId="12" priority="418" stopIfTrue="1" operator="lessThan">
      <formula>-0.03</formula>
    </cfRule>
  </conditionalFormatting>
  <conditionalFormatting sqref="V47:X58">
    <cfRule type="cellIs" dxfId="11" priority="379" operator="greaterThan">
      <formula>0.03</formula>
    </cfRule>
    <cfRule type="cellIs" dxfId="10" priority="380" stopIfTrue="1" operator="lessThan">
      <formula>-0.03</formula>
    </cfRule>
  </conditionalFormatting>
  <conditionalFormatting sqref="V59:X62">
    <cfRule type="cellIs" dxfId="9" priority="41" operator="greaterThan">
      <formula>0.03</formula>
    </cfRule>
    <cfRule type="cellIs" dxfId="8" priority="42" stopIfTrue="1" operator="lessThan">
      <formula>-0.03</formula>
    </cfRule>
  </conditionalFormatting>
  <conditionalFormatting sqref="V63:X70">
    <cfRule type="cellIs" dxfId="7" priority="31" operator="greaterThan">
      <formula>0.03</formula>
    </cfRule>
    <cfRule type="cellIs" dxfId="6" priority="32" stopIfTrue="1" operator="lessThan">
      <formula>-0.03</formula>
    </cfRule>
  </conditionalFormatting>
  <conditionalFormatting sqref="V71:X74">
    <cfRule type="cellIs" dxfId="5" priority="13" operator="greaterThan">
      <formula>0.03</formula>
    </cfRule>
    <cfRule type="cellIs" dxfId="4" priority="14" stopIfTrue="1" operator="lessThan">
      <formula>-0.03</formula>
    </cfRule>
  </conditionalFormatting>
  <conditionalFormatting sqref="V75:X78">
    <cfRule type="cellIs" dxfId="3" priority="95" operator="greaterThan">
      <formula>0.03</formula>
    </cfRule>
    <cfRule type="cellIs" dxfId="2" priority="96" stopIfTrue="1" operator="lessThan">
      <formula>-0.03</formula>
    </cfRule>
  </conditionalFormatting>
  <conditionalFormatting sqref="Y75:AA78">
    <cfRule type="cellIs" dxfId="1" priority="93" operator="greaterThan">
      <formula>0.03</formula>
    </cfRule>
    <cfRule type="cellIs" dxfId="0" priority="94" stopIfTrue="1" operator="lessThan">
      <formula>-0.03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workbookViewId="0">
      <selection activeCell="G108" sqref="G108"/>
    </sheetView>
  </sheetViews>
  <sheetFormatPr defaultColWidth="9" defaultRowHeight="15" x14ac:dyDescent="0.25"/>
  <cols>
    <col min="1" max="1" width="25" customWidth="1"/>
    <col min="2" max="2" width="12.5" customWidth="1"/>
    <col min="6" max="6" width="14" customWidth="1"/>
  </cols>
  <sheetData>
    <row r="1" spans="1:7" x14ac:dyDescent="0.25">
      <c r="A1" s="1" t="s">
        <v>97</v>
      </c>
      <c r="B1">
        <v>77497.984899999996</v>
      </c>
      <c r="C1">
        <v>40.8005</v>
      </c>
      <c r="D1">
        <v>49.129199999999997</v>
      </c>
      <c r="E1">
        <v>47.6556</v>
      </c>
      <c r="F1">
        <v>67651.577999999994</v>
      </c>
      <c r="G1">
        <v>24.885000000000002</v>
      </c>
    </row>
    <row r="2" spans="1:7" x14ac:dyDescent="0.25">
      <c r="A2" s="1" t="s">
        <v>98</v>
      </c>
      <c r="B2">
        <v>41825.124300000003</v>
      </c>
      <c r="C2">
        <v>40.149900000000002</v>
      </c>
      <c r="D2">
        <v>48.338000000000001</v>
      </c>
      <c r="E2">
        <v>46.536099999999998</v>
      </c>
      <c r="F2">
        <v>37905.218999999997</v>
      </c>
      <c r="G2">
        <v>24.021000000000001</v>
      </c>
    </row>
    <row r="3" spans="1:7" x14ac:dyDescent="0.25">
      <c r="A3" s="1" t="s">
        <v>99</v>
      </c>
      <c r="B3">
        <v>25032.570800000001</v>
      </c>
      <c r="C3">
        <v>39.418100000000003</v>
      </c>
      <c r="D3">
        <v>47.363900000000001</v>
      </c>
      <c r="E3">
        <v>45.252200000000002</v>
      </c>
      <c r="F3">
        <v>22696.006000000001</v>
      </c>
      <c r="G3">
        <v>24.84</v>
      </c>
    </row>
    <row r="4" spans="1:7" x14ac:dyDescent="0.25">
      <c r="A4" s="1" t="s">
        <v>100</v>
      </c>
      <c r="B4">
        <v>14265.6389</v>
      </c>
      <c r="C4">
        <v>38.194800000000001</v>
      </c>
      <c r="D4">
        <v>45.863999999999997</v>
      </c>
      <c r="E4">
        <v>43.448500000000003</v>
      </c>
      <c r="F4">
        <v>12521.004999999999</v>
      </c>
      <c r="G4">
        <v>21.986999999999998</v>
      </c>
    </row>
    <row r="5" spans="1:7" x14ac:dyDescent="0.25">
      <c r="A5" s="1" t="s">
        <v>101</v>
      </c>
      <c r="B5">
        <v>409740.97889999999</v>
      </c>
      <c r="C5">
        <v>42.512500000000003</v>
      </c>
      <c r="D5">
        <v>40.659300000000002</v>
      </c>
      <c r="E5">
        <v>40.544499999999999</v>
      </c>
      <c r="F5">
        <v>123656.344</v>
      </c>
      <c r="G5">
        <v>35.043999999999997</v>
      </c>
    </row>
    <row r="6" spans="1:7" x14ac:dyDescent="0.25">
      <c r="A6" s="1" t="s">
        <v>102</v>
      </c>
      <c r="B6">
        <v>264960.37890000001</v>
      </c>
      <c r="C6">
        <v>39.822899999999997</v>
      </c>
      <c r="D6">
        <v>37.9251</v>
      </c>
      <c r="E6">
        <v>37.850999999999999</v>
      </c>
      <c r="F6">
        <v>96130.614000000001</v>
      </c>
      <c r="G6">
        <v>31.341999999999999</v>
      </c>
    </row>
    <row r="7" spans="1:7" x14ac:dyDescent="0.25">
      <c r="A7" s="1" t="s">
        <v>103</v>
      </c>
      <c r="B7">
        <v>150540.96840000001</v>
      </c>
      <c r="C7">
        <v>36.7502</v>
      </c>
      <c r="D7">
        <v>35.389699999999998</v>
      </c>
      <c r="E7">
        <v>35.398800000000001</v>
      </c>
      <c r="F7">
        <v>67577.891000000003</v>
      </c>
      <c r="G7">
        <v>27.527000000000001</v>
      </c>
    </row>
    <row r="8" spans="1:7" x14ac:dyDescent="0.25">
      <c r="A8" s="1" t="s">
        <v>104</v>
      </c>
      <c r="B8">
        <v>68728.042100000006</v>
      </c>
      <c r="C8">
        <v>33.543799999999997</v>
      </c>
      <c r="D8">
        <v>32.757399999999997</v>
      </c>
      <c r="E8">
        <v>32.829599999999999</v>
      </c>
      <c r="F8">
        <v>40398.883000000002</v>
      </c>
      <c r="G8">
        <v>23.9</v>
      </c>
    </row>
    <row r="9" spans="1:7" x14ac:dyDescent="0.25">
      <c r="A9" s="1" t="s">
        <v>105</v>
      </c>
      <c r="B9">
        <v>161978.19159999999</v>
      </c>
      <c r="C9">
        <v>41.9358</v>
      </c>
      <c r="D9">
        <v>40.659300000000002</v>
      </c>
      <c r="E9">
        <v>40.544499999999999</v>
      </c>
      <c r="F9">
        <v>123656.344</v>
      </c>
      <c r="G9">
        <v>35.043999999999997</v>
      </c>
    </row>
    <row r="10" spans="1:7" x14ac:dyDescent="0.25">
      <c r="A10" s="1" t="s">
        <v>106</v>
      </c>
      <c r="B10">
        <v>81117.498900000006</v>
      </c>
      <c r="C10">
        <v>39.349200000000003</v>
      </c>
      <c r="D10">
        <v>38.473500000000001</v>
      </c>
      <c r="E10">
        <v>38.3992</v>
      </c>
      <c r="F10">
        <v>75914.812999999995</v>
      </c>
      <c r="G10">
        <v>24.670999999999999</v>
      </c>
    </row>
    <row r="11" spans="1:7" x14ac:dyDescent="0.25">
      <c r="A11" s="1" t="s">
        <v>107</v>
      </c>
      <c r="B11">
        <v>41185.484199999999</v>
      </c>
      <c r="C11">
        <v>37.509799999999998</v>
      </c>
      <c r="D11">
        <v>36.945500000000003</v>
      </c>
      <c r="E11">
        <v>36.848500000000001</v>
      </c>
      <c r="F11">
        <v>44592.616999999998</v>
      </c>
      <c r="G11">
        <v>21.591999999999999</v>
      </c>
    </row>
    <row r="12" spans="1:7" x14ac:dyDescent="0.25">
      <c r="A12" s="1" t="s">
        <v>108</v>
      </c>
      <c r="B12">
        <v>20242.414700000001</v>
      </c>
      <c r="C12">
        <v>35.667200000000001</v>
      </c>
      <c r="D12">
        <v>35.065899999999999</v>
      </c>
      <c r="E12">
        <v>34.993899999999996</v>
      </c>
      <c r="F12">
        <v>25067.771000000001</v>
      </c>
      <c r="G12">
        <v>20.893999999999998</v>
      </c>
    </row>
    <row r="13" spans="1:7" x14ac:dyDescent="0.25">
      <c r="A13" s="1" t="s">
        <v>109</v>
      </c>
      <c r="B13">
        <v>178954.8884</v>
      </c>
      <c r="C13">
        <v>38.600900000000003</v>
      </c>
      <c r="D13">
        <v>45.480400000000003</v>
      </c>
      <c r="E13">
        <v>43.284500000000001</v>
      </c>
      <c r="F13">
        <v>122864.898</v>
      </c>
      <c r="G13">
        <v>29.312999999999999</v>
      </c>
    </row>
    <row r="14" spans="1:7" x14ac:dyDescent="0.25">
      <c r="A14" s="1" t="s">
        <v>110</v>
      </c>
      <c r="B14">
        <v>87394.130499999999</v>
      </c>
      <c r="C14">
        <v>37.662100000000002</v>
      </c>
      <c r="D14">
        <v>44.520600000000002</v>
      </c>
      <c r="E14">
        <v>42.122100000000003</v>
      </c>
      <c r="F14">
        <v>70710.062999999995</v>
      </c>
      <c r="G14">
        <v>25.481999999999999</v>
      </c>
    </row>
    <row r="15" spans="1:7" x14ac:dyDescent="0.25">
      <c r="A15" s="1" t="s">
        <v>111</v>
      </c>
      <c r="B15">
        <v>50177.178899999999</v>
      </c>
      <c r="C15">
        <v>36.731000000000002</v>
      </c>
      <c r="D15">
        <v>43.464100000000002</v>
      </c>
      <c r="E15">
        <v>40.902900000000002</v>
      </c>
      <c r="F15">
        <v>43035.945</v>
      </c>
      <c r="G15">
        <v>23.965</v>
      </c>
    </row>
    <row r="16" spans="1:7" x14ac:dyDescent="0.25">
      <c r="A16" s="1" t="s">
        <v>112</v>
      </c>
      <c r="B16">
        <v>26433.1705</v>
      </c>
      <c r="C16">
        <v>35.2258</v>
      </c>
      <c r="D16">
        <v>42.01</v>
      </c>
      <c r="E16">
        <v>39.510899999999999</v>
      </c>
      <c r="F16">
        <v>25325.664000000001</v>
      </c>
      <c r="G16">
        <v>22.702999999999999</v>
      </c>
    </row>
    <row r="17" spans="1:7" x14ac:dyDescent="0.25">
      <c r="A17" s="1" t="s">
        <v>113</v>
      </c>
      <c r="B17">
        <v>68243.104800000001</v>
      </c>
      <c r="C17">
        <v>39.5443</v>
      </c>
      <c r="D17">
        <v>40.376399999999997</v>
      </c>
      <c r="E17">
        <v>43.282200000000003</v>
      </c>
      <c r="F17">
        <v>61109.038999999997</v>
      </c>
      <c r="G17">
        <v>13.992000000000001</v>
      </c>
    </row>
    <row r="18" spans="1:7" x14ac:dyDescent="0.25">
      <c r="A18" s="1" t="s">
        <v>114</v>
      </c>
      <c r="B18">
        <v>40723.352400000003</v>
      </c>
      <c r="C18">
        <v>37.901800000000001</v>
      </c>
      <c r="D18">
        <v>39.331499999999998</v>
      </c>
      <c r="E18">
        <v>41.799199999999999</v>
      </c>
      <c r="F18">
        <v>41805.449000000001</v>
      </c>
      <c r="G18">
        <v>12.22</v>
      </c>
    </row>
    <row r="19" spans="1:7" x14ac:dyDescent="0.25">
      <c r="A19" s="1" t="s">
        <v>115</v>
      </c>
      <c r="B19">
        <v>23427.676200000002</v>
      </c>
      <c r="C19">
        <v>35.976500000000001</v>
      </c>
      <c r="D19">
        <v>38.403700000000001</v>
      </c>
      <c r="E19">
        <v>40.352200000000003</v>
      </c>
      <c r="F19">
        <v>28210.129000000001</v>
      </c>
      <c r="G19">
        <v>10.698</v>
      </c>
    </row>
    <row r="20" spans="1:7" x14ac:dyDescent="0.25">
      <c r="A20" s="1" t="s">
        <v>116</v>
      </c>
      <c r="B20">
        <v>11941.644399999999</v>
      </c>
      <c r="C20">
        <v>33.501899999999999</v>
      </c>
      <c r="D20">
        <v>37.166899999999998</v>
      </c>
      <c r="E20">
        <v>38.611499999999999</v>
      </c>
      <c r="F20">
        <v>17687.398000000001</v>
      </c>
      <c r="G20">
        <v>9.67</v>
      </c>
    </row>
    <row r="21" spans="1:7" x14ac:dyDescent="0.25">
      <c r="A21" s="1" t="s">
        <v>117</v>
      </c>
      <c r="B21">
        <v>42998.7111</v>
      </c>
      <c r="C21">
        <v>40.1858</v>
      </c>
      <c r="D21">
        <v>44.069800000000001</v>
      </c>
      <c r="E21">
        <v>45.479399999999998</v>
      </c>
      <c r="F21">
        <v>47020.902000000002</v>
      </c>
      <c r="G21">
        <v>12.375999999999999</v>
      </c>
    </row>
    <row r="22" spans="1:7" x14ac:dyDescent="0.25">
      <c r="A22" s="1" t="s">
        <v>118</v>
      </c>
      <c r="B22">
        <v>23403.2127</v>
      </c>
      <c r="C22">
        <v>38.706299999999999</v>
      </c>
      <c r="D22">
        <v>43.029899999999998</v>
      </c>
      <c r="E22">
        <v>43.958799999999997</v>
      </c>
      <c r="F22">
        <v>30783.971000000001</v>
      </c>
      <c r="G22">
        <v>11.038</v>
      </c>
    </row>
    <row r="23" spans="1:7" x14ac:dyDescent="0.25">
      <c r="A23" s="1" t="s">
        <v>119</v>
      </c>
      <c r="B23">
        <v>13142.7556</v>
      </c>
      <c r="C23">
        <v>37.247100000000003</v>
      </c>
      <c r="D23">
        <v>41.877899999999997</v>
      </c>
      <c r="E23">
        <v>42.365000000000002</v>
      </c>
      <c r="F23">
        <v>19699.732</v>
      </c>
      <c r="G23">
        <v>10.503</v>
      </c>
    </row>
    <row r="24" spans="1:7" x14ac:dyDescent="0.25">
      <c r="A24" s="1" t="s">
        <v>120</v>
      </c>
      <c r="B24">
        <v>7014.4825000000001</v>
      </c>
      <c r="C24">
        <v>35.314500000000002</v>
      </c>
      <c r="D24">
        <v>40.353499999999997</v>
      </c>
      <c r="E24">
        <v>40.3825</v>
      </c>
      <c r="F24">
        <v>11766.784</v>
      </c>
      <c r="G24">
        <v>9.7029999999999994</v>
      </c>
    </row>
    <row r="25" spans="1:7" x14ac:dyDescent="0.25">
      <c r="A25" s="1" t="s">
        <v>121</v>
      </c>
      <c r="B25">
        <v>65111.648000000001</v>
      </c>
      <c r="C25">
        <v>41.688299999999998</v>
      </c>
      <c r="D25">
        <v>44.173999999999999</v>
      </c>
      <c r="E25">
        <v>44.928199999999997</v>
      </c>
      <c r="F25">
        <v>52920.82</v>
      </c>
      <c r="G25">
        <v>15.813000000000001</v>
      </c>
    </row>
    <row r="26" spans="1:7" x14ac:dyDescent="0.25">
      <c r="A26" s="1" t="s">
        <v>122</v>
      </c>
      <c r="B26">
        <v>41955.462399999997</v>
      </c>
      <c r="C26">
        <v>39.8904</v>
      </c>
      <c r="D26">
        <v>42.6511</v>
      </c>
      <c r="E26">
        <v>43.607799999999997</v>
      </c>
      <c r="F26">
        <v>38530.847999999998</v>
      </c>
      <c r="G26">
        <v>13.952</v>
      </c>
    </row>
    <row r="27" spans="1:7" x14ac:dyDescent="0.25">
      <c r="A27" s="1" t="s">
        <v>123</v>
      </c>
      <c r="B27">
        <v>24654.604800000001</v>
      </c>
      <c r="C27">
        <v>37.674399999999999</v>
      </c>
      <c r="D27">
        <v>41.263500000000001</v>
      </c>
      <c r="E27">
        <v>42.248800000000003</v>
      </c>
      <c r="F27">
        <v>26642.488000000001</v>
      </c>
      <c r="G27">
        <v>12.638999999999999</v>
      </c>
    </row>
    <row r="28" spans="1:7" x14ac:dyDescent="0.25">
      <c r="A28" s="1" t="s">
        <v>124</v>
      </c>
      <c r="B28">
        <v>12459.2768</v>
      </c>
      <c r="C28">
        <v>34.997199999999999</v>
      </c>
      <c r="D28">
        <v>39.688800000000001</v>
      </c>
      <c r="E28">
        <v>40.598300000000002</v>
      </c>
      <c r="F28">
        <v>16596.758000000002</v>
      </c>
      <c r="G28">
        <v>12.465</v>
      </c>
    </row>
    <row r="29" spans="1:7" x14ac:dyDescent="0.25">
      <c r="A29" s="1" t="s">
        <v>125</v>
      </c>
      <c r="B29">
        <v>39891.321600000003</v>
      </c>
      <c r="C29">
        <v>44.859499999999997</v>
      </c>
      <c r="D29">
        <v>47.069299999999998</v>
      </c>
      <c r="E29">
        <v>48.015999999999998</v>
      </c>
      <c r="F29">
        <v>37193.828000000001</v>
      </c>
      <c r="G29">
        <v>14.286</v>
      </c>
    </row>
    <row r="30" spans="1:7" x14ac:dyDescent="0.25">
      <c r="A30" s="1" t="s">
        <v>126</v>
      </c>
      <c r="B30">
        <v>26307.430400000001</v>
      </c>
      <c r="C30">
        <v>42.712499999999999</v>
      </c>
      <c r="D30">
        <v>45.302399999999999</v>
      </c>
      <c r="E30">
        <v>46.144399999999997</v>
      </c>
      <c r="F30">
        <v>28631.300999999999</v>
      </c>
      <c r="G30">
        <v>13.858000000000001</v>
      </c>
    </row>
    <row r="31" spans="1:7" x14ac:dyDescent="0.25">
      <c r="A31" s="1" t="s">
        <v>127</v>
      </c>
      <c r="B31">
        <v>15583.046399999999</v>
      </c>
      <c r="C31">
        <v>40.039299999999997</v>
      </c>
      <c r="D31">
        <v>43.6798</v>
      </c>
      <c r="E31">
        <v>44.342700000000001</v>
      </c>
      <c r="F31">
        <v>21089.516</v>
      </c>
      <c r="G31">
        <v>12.638999999999999</v>
      </c>
    </row>
    <row r="32" spans="1:7" x14ac:dyDescent="0.25">
      <c r="A32" s="1" t="s">
        <v>128</v>
      </c>
      <c r="B32">
        <v>8138.0672000000004</v>
      </c>
      <c r="C32">
        <v>36.983899999999998</v>
      </c>
      <c r="D32">
        <v>41.812800000000003</v>
      </c>
      <c r="E32">
        <v>42.187600000000003</v>
      </c>
      <c r="F32">
        <v>13179.629000000001</v>
      </c>
      <c r="G32">
        <v>11.013999999999999</v>
      </c>
    </row>
    <row r="33" spans="1:7" x14ac:dyDescent="0.25">
      <c r="A33" s="1" t="s">
        <v>129</v>
      </c>
      <c r="B33">
        <v>54232.108800000002</v>
      </c>
      <c r="C33">
        <v>41.691600000000001</v>
      </c>
      <c r="D33">
        <v>45.695700000000002</v>
      </c>
      <c r="E33">
        <v>46.055199999999999</v>
      </c>
      <c r="F33">
        <v>42017.445</v>
      </c>
      <c r="G33">
        <v>9.7940000000000005</v>
      </c>
    </row>
    <row r="34" spans="1:7" x14ac:dyDescent="0.25">
      <c r="A34" s="1" t="s">
        <v>130</v>
      </c>
      <c r="B34">
        <v>37054.7264</v>
      </c>
      <c r="C34">
        <v>38.760300000000001</v>
      </c>
      <c r="D34">
        <v>43.735900000000001</v>
      </c>
      <c r="E34">
        <v>44.156500000000001</v>
      </c>
      <c r="F34">
        <v>34344.32</v>
      </c>
      <c r="G34">
        <v>8.2530000000000001</v>
      </c>
    </row>
    <row r="35" spans="1:7" x14ac:dyDescent="0.25">
      <c r="A35" s="1" t="s">
        <v>131</v>
      </c>
      <c r="B35">
        <v>22016.6528</v>
      </c>
      <c r="C35">
        <v>35.389600000000002</v>
      </c>
      <c r="D35">
        <v>42.098399999999998</v>
      </c>
      <c r="E35">
        <v>42.624099999999999</v>
      </c>
      <c r="F35">
        <v>25812.162</v>
      </c>
      <c r="G35">
        <v>7.5970000000000004</v>
      </c>
    </row>
    <row r="36" spans="1:7" x14ac:dyDescent="0.25">
      <c r="A36" s="1" t="s">
        <v>132</v>
      </c>
      <c r="B36">
        <v>10870.5728</v>
      </c>
      <c r="C36">
        <v>31.769400000000001</v>
      </c>
      <c r="D36">
        <v>40.547600000000003</v>
      </c>
      <c r="E36">
        <v>41.185200000000002</v>
      </c>
      <c r="F36">
        <v>16907.02</v>
      </c>
      <c r="G36">
        <v>5.9720000000000004</v>
      </c>
    </row>
    <row r="37" spans="1:7" x14ac:dyDescent="0.25">
      <c r="A37" s="1" t="s">
        <v>133</v>
      </c>
      <c r="B37">
        <v>20390.604800000001</v>
      </c>
      <c r="C37">
        <v>42.667299999999997</v>
      </c>
      <c r="D37">
        <v>45.424700000000001</v>
      </c>
      <c r="E37">
        <v>46.883699999999997</v>
      </c>
      <c r="F37">
        <v>32635.32</v>
      </c>
      <c r="G37">
        <v>10.36</v>
      </c>
    </row>
    <row r="38" spans="1:7" x14ac:dyDescent="0.25">
      <c r="A38" s="1" t="s">
        <v>134</v>
      </c>
      <c r="B38">
        <v>11599.974399999999</v>
      </c>
      <c r="C38">
        <v>40.650100000000002</v>
      </c>
      <c r="D38">
        <v>44.457099999999997</v>
      </c>
      <c r="E38">
        <v>45.218400000000003</v>
      </c>
      <c r="F38">
        <v>22386.474999999999</v>
      </c>
      <c r="G38">
        <v>9.0299999999999994</v>
      </c>
    </row>
    <row r="39" spans="1:7" x14ac:dyDescent="0.25">
      <c r="A39" s="1" t="s">
        <v>135</v>
      </c>
      <c r="B39">
        <v>6433.0752000000002</v>
      </c>
      <c r="C39">
        <v>38.646500000000003</v>
      </c>
      <c r="D39">
        <v>43.451300000000003</v>
      </c>
      <c r="E39">
        <v>43.488599999999998</v>
      </c>
      <c r="F39">
        <v>14930.368</v>
      </c>
      <c r="G39">
        <v>7.07</v>
      </c>
    </row>
    <row r="40" spans="1:7" x14ac:dyDescent="0.25">
      <c r="A40" s="1" t="s">
        <v>136</v>
      </c>
      <c r="B40">
        <v>3281.9456</v>
      </c>
      <c r="C40">
        <v>36.2714</v>
      </c>
      <c r="D40">
        <v>42.055500000000002</v>
      </c>
      <c r="E40">
        <v>41.349200000000003</v>
      </c>
      <c r="F40">
        <v>8934.82</v>
      </c>
      <c r="G40">
        <v>6.5449999999999999</v>
      </c>
    </row>
    <row r="41" spans="1:7" x14ac:dyDescent="0.25">
      <c r="A41" s="1" t="s">
        <v>137</v>
      </c>
      <c r="B41">
        <v>15326.464</v>
      </c>
      <c r="C41">
        <v>44.1815</v>
      </c>
      <c r="D41">
        <v>46.9116</v>
      </c>
      <c r="E41">
        <v>47.778799999999997</v>
      </c>
      <c r="F41">
        <v>16751.057000000001</v>
      </c>
      <c r="G41">
        <v>6.0819999999999999</v>
      </c>
    </row>
    <row r="42" spans="1:7" x14ac:dyDescent="0.25">
      <c r="A42" s="1" t="s">
        <v>138</v>
      </c>
      <c r="B42">
        <v>10382.924800000001</v>
      </c>
      <c r="C42">
        <v>42.447200000000002</v>
      </c>
      <c r="D42">
        <v>45.676200000000001</v>
      </c>
      <c r="E42">
        <v>46.351399999999998</v>
      </c>
      <c r="F42">
        <v>12374.62</v>
      </c>
      <c r="G42">
        <v>5.5490000000000004</v>
      </c>
    </row>
    <row r="43" spans="1:7" x14ac:dyDescent="0.25">
      <c r="A43" s="1" t="s">
        <v>139</v>
      </c>
      <c r="B43">
        <v>6558.7327999999998</v>
      </c>
      <c r="C43">
        <v>40.103999999999999</v>
      </c>
      <c r="D43">
        <v>44.288400000000003</v>
      </c>
      <c r="E43">
        <v>44.827599999999997</v>
      </c>
      <c r="F43">
        <v>8826.2759999999998</v>
      </c>
      <c r="G43">
        <v>5.2430000000000003</v>
      </c>
    </row>
    <row r="44" spans="1:7" x14ac:dyDescent="0.25">
      <c r="A44" s="1" t="s">
        <v>140</v>
      </c>
      <c r="B44">
        <v>3793.7984000000001</v>
      </c>
      <c r="C44">
        <v>37.116900000000001</v>
      </c>
      <c r="D44">
        <v>42.518799999999999</v>
      </c>
      <c r="E44">
        <v>42.941099999999999</v>
      </c>
      <c r="F44">
        <v>5796.9269999999997</v>
      </c>
      <c r="G44">
        <v>4.9370000000000003</v>
      </c>
    </row>
    <row r="45" spans="1:7" x14ac:dyDescent="0.25">
      <c r="A45" s="1" t="s">
        <v>141</v>
      </c>
      <c r="B45">
        <v>16543.328000000001</v>
      </c>
      <c r="C45">
        <v>44.1265</v>
      </c>
      <c r="D45">
        <v>48.393099999999997</v>
      </c>
      <c r="E45">
        <v>48.147599999999997</v>
      </c>
      <c r="F45">
        <v>16261.598</v>
      </c>
      <c r="G45">
        <v>5.6269999999999998</v>
      </c>
    </row>
    <row r="46" spans="1:7" x14ac:dyDescent="0.25">
      <c r="A46" s="1" t="s">
        <v>142</v>
      </c>
      <c r="B46">
        <v>11480.947200000001</v>
      </c>
      <c r="C46">
        <v>42.376199999999997</v>
      </c>
      <c r="D46">
        <v>47.247100000000003</v>
      </c>
      <c r="E46">
        <v>46.526800000000001</v>
      </c>
      <c r="F46">
        <v>12554.61</v>
      </c>
      <c r="G46">
        <v>5.53</v>
      </c>
    </row>
    <row r="47" spans="1:7" x14ac:dyDescent="0.25">
      <c r="A47" s="1" t="s">
        <v>143</v>
      </c>
      <c r="B47">
        <v>7450.1247999999996</v>
      </c>
      <c r="C47">
        <v>39.9724</v>
      </c>
      <c r="D47">
        <v>46.021299999999997</v>
      </c>
      <c r="E47">
        <v>44.681800000000003</v>
      </c>
      <c r="F47">
        <v>9212.7240000000002</v>
      </c>
      <c r="G47">
        <v>4.9809999999999999</v>
      </c>
    </row>
    <row r="48" spans="1:7" x14ac:dyDescent="0.25">
      <c r="A48" s="1" t="s">
        <v>144</v>
      </c>
      <c r="B48">
        <v>4334.9440000000004</v>
      </c>
      <c r="C48">
        <v>36.746699999999997</v>
      </c>
      <c r="D48">
        <v>44.255899999999997</v>
      </c>
      <c r="E48">
        <v>42.363999999999997</v>
      </c>
      <c r="F48">
        <v>6196.9610000000002</v>
      </c>
      <c r="G48">
        <v>4.5759999999999996</v>
      </c>
    </row>
    <row r="49" spans="1:1" x14ac:dyDescent="0.25">
      <c r="A49" s="1" t="s">
        <v>145</v>
      </c>
    </row>
    <row r="50" spans="1:1" x14ac:dyDescent="0.25">
      <c r="A50" s="1" t="s">
        <v>146</v>
      </c>
    </row>
    <row r="51" spans="1:1" x14ac:dyDescent="0.25">
      <c r="A51" s="1" t="s">
        <v>147</v>
      </c>
    </row>
    <row r="52" spans="1:1" x14ac:dyDescent="0.25">
      <c r="A52" s="1" t="s">
        <v>148</v>
      </c>
    </row>
    <row r="53" spans="1:1" x14ac:dyDescent="0.25">
      <c r="A53" s="1" t="s">
        <v>149</v>
      </c>
    </row>
    <row r="54" spans="1:1" x14ac:dyDescent="0.25">
      <c r="A54" s="1" t="s">
        <v>150</v>
      </c>
    </row>
    <row r="55" spans="1:1" x14ac:dyDescent="0.25">
      <c r="A55" s="1" t="s">
        <v>151</v>
      </c>
    </row>
    <row r="56" spans="1:1" x14ac:dyDescent="0.25">
      <c r="A56" s="1" t="s">
        <v>152</v>
      </c>
    </row>
    <row r="57" spans="1:1" x14ac:dyDescent="0.25">
      <c r="A57" s="1" t="s">
        <v>153</v>
      </c>
    </row>
    <row r="58" spans="1:1" x14ac:dyDescent="0.25">
      <c r="A58" s="1" t="s">
        <v>154</v>
      </c>
    </row>
    <row r="59" spans="1:1" x14ac:dyDescent="0.25">
      <c r="A59" s="1" t="s">
        <v>155</v>
      </c>
    </row>
    <row r="60" spans="1:1" x14ac:dyDescent="0.25">
      <c r="A60" s="1" t="s">
        <v>156</v>
      </c>
    </row>
    <row r="61" spans="1:1" x14ac:dyDescent="0.25">
      <c r="A61" s="1" t="s">
        <v>157</v>
      </c>
    </row>
    <row r="62" spans="1:1" x14ac:dyDescent="0.25">
      <c r="A62" s="1" t="s">
        <v>158</v>
      </c>
    </row>
    <row r="63" spans="1:1" x14ac:dyDescent="0.25">
      <c r="A63" s="1" t="s">
        <v>159</v>
      </c>
    </row>
    <row r="64" spans="1:1" x14ac:dyDescent="0.25">
      <c r="A64" s="1" t="s">
        <v>160</v>
      </c>
    </row>
    <row r="65" spans="1:7" x14ac:dyDescent="0.25">
      <c r="A65" s="1" t="s">
        <v>161</v>
      </c>
    </row>
    <row r="66" spans="1:7" x14ac:dyDescent="0.25">
      <c r="A66" s="1" t="s">
        <v>162</v>
      </c>
    </row>
    <row r="67" spans="1:7" x14ac:dyDescent="0.25">
      <c r="A67" s="1" t="s">
        <v>163</v>
      </c>
    </row>
    <row r="68" spans="1:7" x14ac:dyDescent="0.25">
      <c r="A68" s="1" t="s">
        <v>164</v>
      </c>
    </row>
    <row r="69" spans="1:7" x14ac:dyDescent="0.25">
      <c r="A69" s="1" t="s">
        <v>165</v>
      </c>
    </row>
    <row r="70" spans="1:7" x14ac:dyDescent="0.25">
      <c r="A70" s="1" t="s">
        <v>166</v>
      </c>
    </row>
    <row r="71" spans="1:7" x14ac:dyDescent="0.25">
      <c r="A71" s="1" t="s">
        <v>167</v>
      </c>
    </row>
    <row r="72" spans="1:7" x14ac:dyDescent="0.25">
      <c r="A72" s="1" t="s">
        <v>168</v>
      </c>
    </row>
    <row r="73" spans="1:7" x14ac:dyDescent="0.25">
      <c r="A73" s="1" t="s">
        <v>169</v>
      </c>
      <c r="B73">
        <v>14789.8</v>
      </c>
      <c r="C73">
        <v>40.076999999999998</v>
      </c>
      <c r="D73">
        <v>48.923999999999999</v>
      </c>
      <c r="E73">
        <v>46.924999999999997</v>
      </c>
      <c r="F73">
        <v>243413.90599999999</v>
      </c>
      <c r="G73">
        <v>63.268000000000001</v>
      </c>
    </row>
    <row r="74" spans="1:7" x14ac:dyDescent="0.25">
      <c r="A74" s="1" t="s">
        <v>170</v>
      </c>
      <c r="B74">
        <v>6857.9960000000001</v>
      </c>
      <c r="C74">
        <v>39.576300000000003</v>
      </c>
      <c r="D74">
        <v>48.324100000000001</v>
      </c>
      <c r="E74">
        <v>46.051699999999997</v>
      </c>
      <c r="F74">
        <v>142630.21900000001</v>
      </c>
      <c r="G74">
        <v>61.075000000000003</v>
      </c>
    </row>
    <row r="75" spans="1:7" x14ac:dyDescent="0.25">
      <c r="A75" s="1" t="s">
        <v>171</v>
      </c>
      <c r="B75">
        <v>3705.248</v>
      </c>
      <c r="C75">
        <v>38.716000000000001</v>
      </c>
      <c r="D75">
        <v>47.327300000000001</v>
      </c>
      <c r="E75">
        <v>44.732199999999999</v>
      </c>
      <c r="F75">
        <v>72979.085999999996</v>
      </c>
      <c r="G75">
        <v>58.661999999999999</v>
      </c>
    </row>
    <row r="76" spans="1:7" x14ac:dyDescent="0.25">
      <c r="A76" s="1" t="s">
        <v>172</v>
      </c>
      <c r="B76">
        <v>1961.8320000000001</v>
      </c>
      <c r="C76">
        <v>37.2042</v>
      </c>
      <c r="D76">
        <v>46.080100000000002</v>
      </c>
      <c r="E76">
        <v>43.069800000000001</v>
      </c>
      <c r="F76">
        <v>39070.387000000002</v>
      </c>
      <c r="G76">
        <v>55.222999999999999</v>
      </c>
    </row>
    <row r="77" spans="1:7" x14ac:dyDescent="0.25">
      <c r="A77" s="1" t="s">
        <v>173</v>
      </c>
      <c r="B77">
        <v>161075.628</v>
      </c>
      <c r="C77">
        <v>38.8797</v>
      </c>
      <c r="D77">
        <v>37.753</v>
      </c>
      <c r="E77">
        <v>36.597999999999999</v>
      </c>
      <c r="F77">
        <v>614366.125</v>
      </c>
      <c r="G77">
        <v>71.150000000000006</v>
      </c>
    </row>
    <row r="78" spans="1:7" x14ac:dyDescent="0.25">
      <c r="A78" s="1" t="s">
        <v>174</v>
      </c>
      <c r="B78">
        <v>82272.428</v>
      </c>
      <c r="C78">
        <v>36.371699999999997</v>
      </c>
      <c r="D78">
        <v>35.0732</v>
      </c>
      <c r="E78">
        <v>34.063499999999998</v>
      </c>
      <c r="F78">
        <v>427755.18800000002</v>
      </c>
      <c r="G78">
        <v>64.356999999999999</v>
      </c>
    </row>
    <row r="79" spans="1:7" x14ac:dyDescent="0.25">
      <c r="A79" s="1" t="s">
        <v>175</v>
      </c>
      <c r="B79">
        <v>38008.699999999997</v>
      </c>
      <c r="C79">
        <v>33.7515</v>
      </c>
      <c r="D79">
        <v>33.072200000000002</v>
      </c>
      <c r="E79">
        <v>32.273000000000003</v>
      </c>
      <c r="F79">
        <v>270184.78100000002</v>
      </c>
      <c r="G79">
        <v>56.634</v>
      </c>
    </row>
    <row r="80" spans="1:7" x14ac:dyDescent="0.25">
      <c r="A80" s="1" t="s">
        <v>176</v>
      </c>
      <c r="B80">
        <v>16167.371999999999</v>
      </c>
      <c r="C80">
        <v>31.178599999999999</v>
      </c>
      <c r="D80">
        <v>31.460599999999999</v>
      </c>
      <c r="E80">
        <v>30.974799999999998</v>
      </c>
      <c r="F80">
        <v>150606.31299999999</v>
      </c>
      <c r="G80">
        <v>52.408999999999999</v>
      </c>
    </row>
    <row r="81" spans="1:7" x14ac:dyDescent="0.25">
      <c r="A81" s="1" t="s">
        <v>177</v>
      </c>
      <c r="B81">
        <v>71329.788</v>
      </c>
      <c r="C81">
        <v>38.761899999999997</v>
      </c>
      <c r="D81">
        <v>37.433199999999999</v>
      </c>
      <c r="E81">
        <v>37.332599999999999</v>
      </c>
      <c r="F81">
        <v>328978</v>
      </c>
      <c r="G81">
        <v>38.808</v>
      </c>
    </row>
    <row r="82" spans="1:7" x14ac:dyDescent="0.25">
      <c r="A82" s="1" t="s">
        <v>178</v>
      </c>
      <c r="B82">
        <v>37390.284</v>
      </c>
      <c r="C82">
        <v>36.963000000000001</v>
      </c>
      <c r="D82">
        <v>35.554699999999997</v>
      </c>
      <c r="E82">
        <v>35.528100000000002</v>
      </c>
      <c r="F82">
        <v>214290.21900000001</v>
      </c>
      <c r="G82">
        <v>33.645000000000003</v>
      </c>
    </row>
    <row r="83" spans="1:7" x14ac:dyDescent="0.25">
      <c r="A83" s="1" t="s">
        <v>179</v>
      </c>
      <c r="B83">
        <v>18533.923999999999</v>
      </c>
      <c r="C83">
        <v>34.803400000000003</v>
      </c>
      <c r="D83">
        <v>33.961599999999997</v>
      </c>
      <c r="E83">
        <v>33.999600000000001</v>
      </c>
      <c r="F83">
        <v>133533.43799999999</v>
      </c>
      <c r="G83">
        <v>31.244</v>
      </c>
    </row>
    <row r="84" spans="1:7" x14ac:dyDescent="0.25">
      <c r="A84" s="1" t="s">
        <v>180</v>
      </c>
      <c r="B84">
        <v>9057.7520000000004</v>
      </c>
      <c r="C84">
        <v>32.463500000000003</v>
      </c>
      <c r="D84">
        <v>32.600700000000003</v>
      </c>
      <c r="E84">
        <v>32.684399999999997</v>
      </c>
      <c r="F84">
        <v>78974.906000000003</v>
      </c>
      <c r="G84">
        <v>29.446999999999999</v>
      </c>
    </row>
    <row r="85" spans="1:7" x14ac:dyDescent="0.25">
      <c r="A85" s="1" t="s">
        <v>181</v>
      </c>
      <c r="B85">
        <v>25591.08</v>
      </c>
      <c r="C85">
        <v>37.609000000000002</v>
      </c>
      <c r="D85">
        <v>45.136800000000001</v>
      </c>
      <c r="E85">
        <v>42.7746</v>
      </c>
      <c r="F85">
        <v>350740.65600000002</v>
      </c>
      <c r="G85">
        <v>62.481999999999999</v>
      </c>
    </row>
    <row r="86" spans="1:7" x14ac:dyDescent="0.25">
      <c r="A86" s="1" t="s">
        <v>182</v>
      </c>
      <c r="B86">
        <v>9254.3639999999996</v>
      </c>
      <c r="C86">
        <v>37.043599999999998</v>
      </c>
      <c r="D86">
        <v>44.534599999999998</v>
      </c>
      <c r="E86">
        <v>42.095100000000002</v>
      </c>
      <c r="F86">
        <v>206819.141</v>
      </c>
      <c r="G86">
        <v>59.728999999999999</v>
      </c>
    </row>
    <row r="87" spans="1:7" x14ac:dyDescent="0.25">
      <c r="A87" s="1" t="s">
        <v>183</v>
      </c>
      <c r="B87">
        <v>4563.9279999999999</v>
      </c>
      <c r="C87">
        <v>36.180999999999997</v>
      </c>
      <c r="D87">
        <v>43.601199999999999</v>
      </c>
      <c r="E87">
        <v>41.113500000000002</v>
      </c>
      <c r="F87">
        <v>113503.602</v>
      </c>
      <c r="G87">
        <v>54.216999999999999</v>
      </c>
    </row>
    <row r="88" spans="1:7" x14ac:dyDescent="0.25">
      <c r="A88" s="1" t="s">
        <v>184</v>
      </c>
      <c r="B88">
        <v>2200.46</v>
      </c>
      <c r="C88">
        <v>34.701799999999999</v>
      </c>
      <c r="D88">
        <v>42.3125</v>
      </c>
      <c r="E88">
        <v>39.845300000000002</v>
      </c>
      <c r="F88">
        <v>56963.156000000003</v>
      </c>
      <c r="G88">
        <v>48.314</v>
      </c>
    </row>
    <row r="89" spans="1:7" x14ac:dyDescent="0.25">
      <c r="A89" s="1" t="s">
        <v>185</v>
      </c>
      <c r="B89">
        <v>10049.26</v>
      </c>
      <c r="C89">
        <v>37.979700000000001</v>
      </c>
      <c r="D89">
        <v>39.720999999999997</v>
      </c>
      <c r="E89">
        <v>43.091799999999999</v>
      </c>
      <c r="F89">
        <v>80026.820000000007</v>
      </c>
      <c r="G89">
        <v>12.67</v>
      </c>
    </row>
    <row r="90" spans="1:7" x14ac:dyDescent="0.25">
      <c r="A90" s="1" t="s">
        <v>186</v>
      </c>
      <c r="B90">
        <v>4717.1279999999997</v>
      </c>
      <c r="C90">
        <v>36.881100000000004</v>
      </c>
      <c r="D90">
        <v>39.189599999999999</v>
      </c>
      <c r="E90">
        <v>41.972900000000003</v>
      </c>
      <c r="F90">
        <v>50819.23</v>
      </c>
      <c r="G90">
        <v>11.688000000000001</v>
      </c>
    </row>
    <row r="91" spans="1:7" x14ac:dyDescent="0.25">
      <c r="A91" s="1" t="s">
        <v>187</v>
      </c>
      <c r="B91">
        <v>2398.3440000000001</v>
      </c>
      <c r="C91">
        <v>35.2973</v>
      </c>
      <c r="D91">
        <v>38.465499999999999</v>
      </c>
      <c r="E91">
        <v>40.6023</v>
      </c>
      <c r="F91">
        <v>31433.187999999998</v>
      </c>
      <c r="G91">
        <v>11.077</v>
      </c>
    </row>
    <row r="92" spans="1:7" x14ac:dyDescent="0.25">
      <c r="A92" s="1" t="s">
        <v>188</v>
      </c>
      <c r="B92">
        <v>1120.44</v>
      </c>
      <c r="C92">
        <v>33.049100000000003</v>
      </c>
      <c r="D92">
        <v>37.382399999999997</v>
      </c>
      <c r="E92">
        <v>38.925899999999999</v>
      </c>
      <c r="F92">
        <v>17786.530999999999</v>
      </c>
      <c r="G92">
        <v>10.375999999999999</v>
      </c>
    </row>
    <row r="93" spans="1:7" x14ac:dyDescent="0.25">
      <c r="A93" s="1" t="s">
        <v>189</v>
      </c>
      <c r="B93">
        <v>8813.2880000000005</v>
      </c>
      <c r="C93">
        <v>38.901699999999998</v>
      </c>
      <c r="D93">
        <v>43.935899999999997</v>
      </c>
      <c r="E93">
        <v>45.039900000000003</v>
      </c>
      <c r="F93">
        <v>81517.616999999998</v>
      </c>
      <c r="G93">
        <v>14.260999999999999</v>
      </c>
    </row>
    <row r="94" spans="1:7" x14ac:dyDescent="0.25">
      <c r="A94" s="1" t="s">
        <v>190</v>
      </c>
      <c r="B94">
        <v>4393.3</v>
      </c>
      <c r="C94">
        <v>37.856400000000001</v>
      </c>
      <c r="D94">
        <v>43.0976</v>
      </c>
      <c r="E94">
        <v>43.616300000000003</v>
      </c>
      <c r="F94">
        <v>50501.983999999997</v>
      </c>
      <c r="G94">
        <v>13.481</v>
      </c>
    </row>
    <row r="95" spans="1:7" x14ac:dyDescent="0.25">
      <c r="A95" s="1" t="s">
        <v>191</v>
      </c>
      <c r="B95">
        <v>2236.944</v>
      </c>
      <c r="C95">
        <v>36.360100000000003</v>
      </c>
      <c r="D95">
        <v>41.990099999999998</v>
      </c>
      <c r="E95">
        <v>41.975000000000001</v>
      </c>
      <c r="F95">
        <v>30223.855</v>
      </c>
      <c r="G95">
        <v>12.500999999999999</v>
      </c>
    </row>
    <row r="96" spans="1:7" x14ac:dyDescent="0.25">
      <c r="A96" s="1" t="s">
        <v>192</v>
      </c>
      <c r="B96">
        <v>1102.78</v>
      </c>
      <c r="C96">
        <v>34.294499999999999</v>
      </c>
      <c r="D96">
        <v>40.634799999999998</v>
      </c>
      <c r="E96">
        <v>40.153100000000002</v>
      </c>
      <c r="F96">
        <v>17685.794999999998</v>
      </c>
      <c r="G96">
        <v>11.332000000000001</v>
      </c>
    </row>
    <row r="97" spans="1:7" x14ac:dyDescent="0.25">
      <c r="A97" s="1" t="s">
        <v>193</v>
      </c>
      <c r="B97">
        <v>6898.6480000000001</v>
      </c>
      <c r="C97">
        <v>39.6569</v>
      </c>
      <c r="D97">
        <v>43.66</v>
      </c>
      <c r="E97">
        <v>44.867199999999997</v>
      </c>
      <c r="F97">
        <v>76849.766000000003</v>
      </c>
      <c r="G97">
        <v>15.656000000000001</v>
      </c>
    </row>
    <row r="98" spans="1:7" x14ac:dyDescent="0.25">
      <c r="A98" s="1" t="s">
        <v>194</v>
      </c>
      <c r="B98">
        <v>3244.9720000000002</v>
      </c>
      <c r="C98">
        <v>38.460299999999997</v>
      </c>
      <c r="D98">
        <v>42.894500000000001</v>
      </c>
      <c r="E98">
        <v>44.1907</v>
      </c>
      <c r="F98">
        <v>49738.464999999997</v>
      </c>
      <c r="G98">
        <v>15.247999999999999</v>
      </c>
    </row>
    <row r="99" spans="1:7" x14ac:dyDescent="0.25">
      <c r="A99" s="1" t="s">
        <v>195</v>
      </c>
      <c r="B99">
        <v>1544.116</v>
      </c>
      <c r="C99">
        <v>36.756</v>
      </c>
      <c r="D99">
        <v>41.892299999999999</v>
      </c>
      <c r="E99">
        <v>43.175600000000003</v>
      </c>
      <c r="F99">
        <v>28719.798999999999</v>
      </c>
      <c r="G99">
        <v>15.022</v>
      </c>
    </row>
    <row r="100" spans="1:7" x14ac:dyDescent="0.25">
      <c r="A100" s="1" t="s">
        <v>196</v>
      </c>
      <c r="B100">
        <v>694.24400000000003</v>
      </c>
      <c r="C100">
        <v>34.5304</v>
      </c>
      <c r="D100">
        <v>40.616900000000001</v>
      </c>
      <c r="E100">
        <v>41.811199999999999</v>
      </c>
      <c r="F100">
        <v>15160.735000000001</v>
      </c>
      <c r="G100">
        <v>13.054</v>
      </c>
    </row>
    <row r="101" spans="1:7" x14ac:dyDescent="0.25">
      <c r="A101" s="1" t="s">
        <v>197</v>
      </c>
      <c r="B101">
        <v>5762.9080000000004</v>
      </c>
      <c r="C101">
        <v>44.831499999999998</v>
      </c>
      <c r="D101">
        <v>47.206800000000001</v>
      </c>
      <c r="E101">
        <v>48.178800000000003</v>
      </c>
      <c r="F101">
        <v>54911.625</v>
      </c>
      <c r="G101">
        <v>17.190999999999999</v>
      </c>
    </row>
    <row r="102" spans="1:7" x14ac:dyDescent="0.25">
      <c r="A102" s="1" t="s">
        <v>198</v>
      </c>
      <c r="B102">
        <v>3533.7440000000001</v>
      </c>
      <c r="C102">
        <v>42.594099999999997</v>
      </c>
      <c r="D102">
        <v>45.651699999999998</v>
      </c>
      <c r="E102">
        <v>46.453899999999997</v>
      </c>
      <c r="F102">
        <v>39012.438000000002</v>
      </c>
      <c r="G102">
        <v>15.824</v>
      </c>
    </row>
    <row r="103" spans="1:7" x14ac:dyDescent="0.25">
      <c r="A103" s="1" t="s">
        <v>199</v>
      </c>
      <c r="B103">
        <v>1966.6759999999999</v>
      </c>
      <c r="C103">
        <v>39.781300000000002</v>
      </c>
      <c r="D103">
        <v>43.993899999999996</v>
      </c>
      <c r="E103">
        <v>44.548200000000001</v>
      </c>
      <c r="F103">
        <v>25424.59</v>
      </c>
      <c r="G103">
        <v>14.696</v>
      </c>
    </row>
    <row r="104" spans="1:7" x14ac:dyDescent="0.25">
      <c r="A104" s="1" t="s">
        <v>200</v>
      </c>
      <c r="B104">
        <v>996.67600000000004</v>
      </c>
      <c r="C104">
        <v>36.602800000000002</v>
      </c>
      <c r="D104">
        <v>42.348500000000001</v>
      </c>
      <c r="E104">
        <v>42.644100000000002</v>
      </c>
      <c r="F104">
        <v>15473.816999999999</v>
      </c>
      <c r="G104">
        <v>12.638999999999999</v>
      </c>
    </row>
    <row r="105" spans="1:7" x14ac:dyDescent="0.25">
      <c r="A105" s="1" t="s">
        <v>201</v>
      </c>
      <c r="B105">
        <v>4193.8559999999998</v>
      </c>
      <c r="C105">
        <v>38.528300000000002</v>
      </c>
      <c r="D105">
        <v>45.814900000000002</v>
      </c>
      <c r="E105">
        <v>46.028599999999997</v>
      </c>
      <c r="F105">
        <v>45716.792999999998</v>
      </c>
      <c r="G105">
        <v>7.21</v>
      </c>
    </row>
    <row r="106" spans="1:7" x14ac:dyDescent="0.25">
      <c r="A106" s="1" t="s">
        <v>202</v>
      </c>
      <c r="B106">
        <v>1776.068</v>
      </c>
      <c r="C106">
        <v>36.929699999999997</v>
      </c>
      <c r="D106">
        <v>44.6404</v>
      </c>
      <c r="E106">
        <v>44.820500000000003</v>
      </c>
      <c r="F106">
        <v>25956.934000000001</v>
      </c>
      <c r="G106">
        <v>5.9020000000000001</v>
      </c>
    </row>
    <row r="107" spans="1:7" x14ac:dyDescent="0.25">
      <c r="A107" s="1" t="s">
        <v>203</v>
      </c>
      <c r="B107">
        <v>819</v>
      </c>
      <c r="C107">
        <v>34.944800000000001</v>
      </c>
      <c r="D107">
        <v>43.135399999999997</v>
      </c>
      <c r="E107">
        <v>43.423299999999998</v>
      </c>
      <c r="F107">
        <v>14854.291999999999</v>
      </c>
      <c r="G107">
        <v>5.7859999999999996</v>
      </c>
    </row>
    <row r="108" spans="1:7" x14ac:dyDescent="0.25">
      <c r="A108" s="1" t="s">
        <v>204</v>
      </c>
      <c r="B108">
        <v>392.02800000000002</v>
      </c>
      <c r="C108">
        <v>32.324300000000001</v>
      </c>
      <c r="D108">
        <v>41.2119</v>
      </c>
      <c r="E108">
        <v>41.773400000000002</v>
      </c>
      <c r="F108">
        <v>8014.1530000000002</v>
      </c>
      <c r="G108">
        <v>4.9340000000000002</v>
      </c>
    </row>
    <row r="109" spans="1:7" x14ac:dyDescent="0.25">
      <c r="A109" s="1" t="s">
        <v>205</v>
      </c>
      <c r="B109">
        <v>2482.9760000000001</v>
      </c>
      <c r="C109">
        <v>40.595799999999997</v>
      </c>
      <c r="D109">
        <v>46.082799999999999</v>
      </c>
      <c r="E109">
        <v>47.178800000000003</v>
      </c>
      <c r="F109">
        <v>44081.305</v>
      </c>
      <c r="G109">
        <v>9.3829999999999991</v>
      </c>
    </row>
    <row r="110" spans="1:7" x14ac:dyDescent="0.25">
      <c r="A110" s="1" t="s">
        <v>206</v>
      </c>
      <c r="B110">
        <v>1137.32</v>
      </c>
      <c r="C110">
        <v>39.4861</v>
      </c>
      <c r="D110">
        <v>45.508000000000003</v>
      </c>
      <c r="E110">
        <v>45.935899999999997</v>
      </c>
      <c r="F110">
        <v>24784.210999999999</v>
      </c>
      <c r="G110">
        <v>7.9340000000000002</v>
      </c>
    </row>
    <row r="111" spans="1:7" x14ac:dyDescent="0.25">
      <c r="A111" s="1" t="s">
        <v>207</v>
      </c>
      <c r="B111">
        <v>536.70000000000005</v>
      </c>
      <c r="C111">
        <v>37.924500000000002</v>
      </c>
      <c r="D111">
        <v>44.680199999999999</v>
      </c>
      <c r="E111">
        <v>44.283999999999999</v>
      </c>
      <c r="F111">
        <v>13557.282999999999</v>
      </c>
      <c r="G111">
        <v>7.4980000000000002</v>
      </c>
    </row>
    <row r="112" spans="1:7" x14ac:dyDescent="0.25">
      <c r="A112" s="1" t="s">
        <v>208</v>
      </c>
      <c r="B112">
        <v>242.42</v>
      </c>
      <c r="C112">
        <v>35.817</v>
      </c>
      <c r="D112">
        <v>43.526800000000001</v>
      </c>
      <c r="E112">
        <v>42.436</v>
      </c>
      <c r="F112">
        <v>6925.98</v>
      </c>
      <c r="G112">
        <v>6.2309999999999999</v>
      </c>
    </row>
    <row r="113" spans="1:7" x14ac:dyDescent="0.25">
      <c r="A113" s="1" t="s">
        <v>209</v>
      </c>
      <c r="B113">
        <v>946.65200000000004</v>
      </c>
      <c r="C113">
        <v>43.477400000000003</v>
      </c>
      <c r="D113">
        <v>47.107599999999998</v>
      </c>
      <c r="E113">
        <v>48.103999999999999</v>
      </c>
      <c r="F113">
        <v>14209.239</v>
      </c>
      <c r="G113">
        <v>5.1820000000000004</v>
      </c>
    </row>
    <row r="114" spans="1:7" x14ac:dyDescent="0.25">
      <c r="A114" s="1" t="s">
        <v>210</v>
      </c>
      <c r="B114">
        <v>516.34799999999996</v>
      </c>
      <c r="C114">
        <v>42.199199999999998</v>
      </c>
      <c r="D114">
        <v>46.2819</v>
      </c>
      <c r="E114">
        <v>47.1143</v>
      </c>
      <c r="F114">
        <v>8010.4610000000002</v>
      </c>
      <c r="G114">
        <v>5.3259999999999996</v>
      </c>
    </row>
    <row r="115" spans="1:7" x14ac:dyDescent="0.25">
      <c r="A115" s="1" t="s">
        <v>211</v>
      </c>
      <c r="B115">
        <v>296.13600000000002</v>
      </c>
      <c r="C115">
        <v>40.4435</v>
      </c>
      <c r="D115">
        <v>45.252600000000001</v>
      </c>
      <c r="E115">
        <v>45.7926</v>
      </c>
      <c r="F115">
        <v>4536.0529999999999</v>
      </c>
      <c r="G115">
        <v>4.8230000000000004</v>
      </c>
    </row>
    <row r="116" spans="1:7" x14ac:dyDescent="0.25">
      <c r="A116" s="1" t="s">
        <v>212</v>
      </c>
      <c r="B116">
        <v>164.76</v>
      </c>
      <c r="C116">
        <v>37.884999999999998</v>
      </c>
      <c r="D116">
        <v>43.374699999999997</v>
      </c>
      <c r="E116">
        <v>43.789900000000003</v>
      </c>
      <c r="F116">
        <v>2869.8470000000002</v>
      </c>
      <c r="G116">
        <v>5.0839999999999996</v>
      </c>
    </row>
    <row r="117" spans="1:7" x14ac:dyDescent="0.25">
      <c r="A117" s="1" t="s">
        <v>213</v>
      </c>
      <c r="B117">
        <v>1342.32</v>
      </c>
      <c r="C117">
        <v>42.845799999999997</v>
      </c>
      <c r="D117">
        <v>48.650300000000001</v>
      </c>
      <c r="E117">
        <v>48.4407</v>
      </c>
      <c r="F117">
        <v>16324.411</v>
      </c>
      <c r="G117">
        <v>5.4470000000000001</v>
      </c>
    </row>
    <row r="118" spans="1:7" x14ac:dyDescent="0.25">
      <c r="A118" s="1" t="s">
        <v>214</v>
      </c>
      <c r="B118">
        <v>724.66</v>
      </c>
      <c r="C118">
        <v>41.566800000000001</v>
      </c>
      <c r="D118">
        <v>47.791400000000003</v>
      </c>
      <c r="E118">
        <v>47.308500000000002</v>
      </c>
      <c r="F118">
        <v>9508.6360000000004</v>
      </c>
      <c r="G118">
        <v>5.0250000000000004</v>
      </c>
    </row>
    <row r="119" spans="1:7" x14ac:dyDescent="0.25">
      <c r="A119" s="1" t="s">
        <v>215</v>
      </c>
      <c r="B119">
        <v>407.89600000000002</v>
      </c>
      <c r="C119">
        <v>39.685299999999998</v>
      </c>
      <c r="D119">
        <v>46.682600000000001</v>
      </c>
      <c r="E119">
        <v>45.740600000000001</v>
      </c>
      <c r="F119">
        <v>5505.6930000000002</v>
      </c>
      <c r="G119">
        <v>4.8860000000000001</v>
      </c>
    </row>
    <row r="120" spans="1:7" x14ac:dyDescent="0.25">
      <c r="A120" s="1" t="s">
        <v>216</v>
      </c>
      <c r="B120">
        <v>223.84800000000001</v>
      </c>
      <c r="C120">
        <v>36.926600000000001</v>
      </c>
      <c r="D120">
        <v>45.120800000000003</v>
      </c>
      <c r="E120">
        <v>43.463299999999997</v>
      </c>
      <c r="F120">
        <v>3243.3110000000001</v>
      </c>
      <c r="G120">
        <v>4.6749999999999998</v>
      </c>
    </row>
    <row r="121" spans="1:7" x14ac:dyDescent="0.25">
      <c r="A121" s="1" t="s">
        <v>217</v>
      </c>
    </row>
    <row r="122" spans="1:7" x14ac:dyDescent="0.25">
      <c r="A122" s="1" t="s">
        <v>218</v>
      </c>
    </row>
    <row r="123" spans="1:7" x14ac:dyDescent="0.25">
      <c r="A123" s="1" t="s">
        <v>219</v>
      </c>
    </row>
    <row r="124" spans="1:7" x14ac:dyDescent="0.25">
      <c r="A124" s="1" t="s">
        <v>220</v>
      </c>
    </row>
    <row r="125" spans="1:7" x14ac:dyDescent="0.25">
      <c r="A125" s="1" t="s">
        <v>221</v>
      </c>
    </row>
    <row r="126" spans="1:7" x14ac:dyDescent="0.25">
      <c r="A126" s="1" t="s">
        <v>222</v>
      </c>
    </row>
    <row r="127" spans="1:7" x14ac:dyDescent="0.25">
      <c r="A127" s="1" t="s">
        <v>223</v>
      </c>
    </row>
    <row r="128" spans="1:7" x14ac:dyDescent="0.25">
      <c r="A128" s="1" t="s">
        <v>224</v>
      </c>
    </row>
    <row r="129" spans="1:1" x14ac:dyDescent="0.25">
      <c r="A129" s="1" t="s">
        <v>225</v>
      </c>
    </row>
    <row r="130" spans="1:1" x14ac:dyDescent="0.25">
      <c r="A130" s="1" t="s">
        <v>226</v>
      </c>
    </row>
    <row r="131" spans="1:1" x14ac:dyDescent="0.25">
      <c r="A131" s="1" t="s">
        <v>227</v>
      </c>
    </row>
    <row r="132" spans="1:1" x14ac:dyDescent="0.25">
      <c r="A132" s="1" t="s">
        <v>228</v>
      </c>
    </row>
    <row r="133" spans="1:1" x14ac:dyDescent="0.25">
      <c r="A133" s="1" t="s">
        <v>229</v>
      </c>
    </row>
    <row r="134" spans="1:1" x14ac:dyDescent="0.25">
      <c r="A134" s="1" t="s">
        <v>230</v>
      </c>
    </row>
    <row r="135" spans="1:1" x14ac:dyDescent="0.25">
      <c r="A135" s="1" t="s">
        <v>231</v>
      </c>
    </row>
    <row r="136" spans="1:1" x14ac:dyDescent="0.25">
      <c r="A136" s="1" t="s">
        <v>232</v>
      </c>
    </row>
    <row r="137" spans="1:1" x14ac:dyDescent="0.25">
      <c r="A137" s="1" t="s">
        <v>233</v>
      </c>
    </row>
    <row r="138" spans="1:1" x14ac:dyDescent="0.25">
      <c r="A138" s="1" t="s">
        <v>234</v>
      </c>
    </row>
    <row r="139" spans="1:1" x14ac:dyDescent="0.25">
      <c r="A139" s="1" t="s">
        <v>235</v>
      </c>
    </row>
    <row r="140" spans="1:1" x14ac:dyDescent="0.25">
      <c r="A140" s="1" t="s">
        <v>236</v>
      </c>
    </row>
    <row r="141" spans="1:1" x14ac:dyDescent="0.25">
      <c r="A141" s="1" t="s">
        <v>237</v>
      </c>
    </row>
    <row r="142" spans="1:1" x14ac:dyDescent="0.25">
      <c r="A142" s="1" t="s">
        <v>238</v>
      </c>
    </row>
    <row r="143" spans="1:1" x14ac:dyDescent="0.25">
      <c r="A143" s="1" t="s">
        <v>239</v>
      </c>
    </row>
    <row r="144" spans="1:1" x14ac:dyDescent="0.25">
      <c r="A144" s="1" t="s">
        <v>240</v>
      </c>
    </row>
    <row r="145" spans="1:1" x14ac:dyDescent="0.25">
      <c r="A145" s="1" t="s">
        <v>241</v>
      </c>
    </row>
    <row r="146" spans="1:1" x14ac:dyDescent="0.25">
      <c r="A146" s="1" t="s">
        <v>242</v>
      </c>
    </row>
    <row r="147" spans="1:1" x14ac:dyDescent="0.25">
      <c r="A147" s="1" t="s">
        <v>243</v>
      </c>
    </row>
    <row r="148" spans="1:1" x14ac:dyDescent="0.25">
      <c r="A148" s="1" t="s">
        <v>244</v>
      </c>
    </row>
    <row r="149" spans="1:1" x14ac:dyDescent="0.25">
      <c r="A149" s="1" t="s">
        <v>245</v>
      </c>
    </row>
    <row r="150" spans="1:1" x14ac:dyDescent="0.25">
      <c r="A150" s="1" t="s">
        <v>246</v>
      </c>
    </row>
    <row r="151" spans="1:1" x14ac:dyDescent="0.25">
      <c r="A151" s="1" t="s">
        <v>247</v>
      </c>
    </row>
    <row r="152" spans="1:1" x14ac:dyDescent="0.25">
      <c r="A152" s="1" t="s">
        <v>248</v>
      </c>
    </row>
    <row r="153" spans="1:1" x14ac:dyDescent="0.25">
      <c r="A153" s="1" t="s">
        <v>249</v>
      </c>
    </row>
    <row r="154" spans="1:1" x14ac:dyDescent="0.25">
      <c r="A154" s="1" t="s">
        <v>250</v>
      </c>
    </row>
    <row r="155" spans="1:1" x14ac:dyDescent="0.25">
      <c r="A155" s="1" t="s">
        <v>251</v>
      </c>
    </row>
    <row r="156" spans="1:1" x14ac:dyDescent="0.25">
      <c r="A156" s="1" t="s">
        <v>252</v>
      </c>
    </row>
    <row r="157" spans="1:1" x14ac:dyDescent="0.25">
      <c r="A157" s="1" t="s">
        <v>253</v>
      </c>
    </row>
    <row r="158" spans="1:1" x14ac:dyDescent="0.25">
      <c r="A158" s="1" t="s">
        <v>254</v>
      </c>
    </row>
    <row r="159" spans="1:1" x14ac:dyDescent="0.25">
      <c r="A159" s="1" t="s">
        <v>255</v>
      </c>
    </row>
    <row r="160" spans="1:1" x14ac:dyDescent="0.25">
      <c r="A160" s="1" t="s">
        <v>256</v>
      </c>
    </row>
    <row r="161" spans="1:1" x14ac:dyDescent="0.25">
      <c r="A161" s="1" t="s">
        <v>257</v>
      </c>
    </row>
    <row r="162" spans="1:1" x14ac:dyDescent="0.25">
      <c r="A162" s="1" t="s">
        <v>258</v>
      </c>
    </row>
    <row r="163" spans="1:1" x14ac:dyDescent="0.25">
      <c r="A163" s="1" t="s">
        <v>259</v>
      </c>
    </row>
    <row r="164" spans="1:1" x14ac:dyDescent="0.25">
      <c r="A164" s="1" t="s">
        <v>260</v>
      </c>
    </row>
    <row r="165" spans="1:1" x14ac:dyDescent="0.25">
      <c r="A165" s="1" t="s">
        <v>261</v>
      </c>
    </row>
    <row r="166" spans="1:1" x14ac:dyDescent="0.25">
      <c r="A166" s="1" t="s">
        <v>262</v>
      </c>
    </row>
    <row r="167" spans="1:1" x14ac:dyDescent="0.25">
      <c r="A167" s="1" t="s">
        <v>263</v>
      </c>
    </row>
    <row r="168" spans="1:1" x14ac:dyDescent="0.25">
      <c r="A168" s="1" t="s">
        <v>264</v>
      </c>
    </row>
    <row r="169" spans="1:1" x14ac:dyDescent="0.25">
      <c r="A169" s="1" t="s">
        <v>265</v>
      </c>
    </row>
    <row r="170" spans="1:1" x14ac:dyDescent="0.25">
      <c r="A170" s="1" t="s">
        <v>266</v>
      </c>
    </row>
    <row r="171" spans="1:1" x14ac:dyDescent="0.25">
      <c r="A171" s="1" t="s">
        <v>267</v>
      </c>
    </row>
    <row r="172" spans="1:1" x14ac:dyDescent="0.25">
      <c r="A172" s="1" t="s">
        <v>268</v>
      </c>
    </row>
    <row r="173" spans="1:1" x14ac:dyDescent="0.25">
      <c r="A173" s="1" t="s">
        <v>269</v>
      </c>
    </row>
    <row r="174" spans="1:1" x14ac:dyDescent="0.25">
      <c r="A174" s="1" t="s">
        <v>270</v>
      </c>
    </row>
    <row r="175" spans="1:1" x14ac:dyDescent="0.25">
      <c r="A175" s="1" t="s">
        <v>271</v>
      </c>
    </row>
    <row r="176" spans="1:1" x14ac:dyDescent="0.25">
      <c r="A176" s="1" t="s">
        <v>272</v>
      </c>
    </row>
    <row r="177" spans="1:7" x14ac:dyDescent="0.25">
      <c r="A177" s="1" t="s">
        <v>273</v>
      </c>
      <c r="B177" s="2"/>
      <c r="C177" s="2"/>
      <c r="D177" s="2"/>
      <c r="E177" s="2"/>
      <c r="F177" s="2"/>
      <c r="G177" s="2"/>
    </row>
    <row r="178" spans="1:7" x14ac:dyDescent="0.25">
      <c r="A178" s="1" t="s">
        <v>274</v>
      </c>
      <c r="B178" s="2"/>
      <c r="C178" s="2"/>
      <c r="D178" s="2"/>
      <c r="E178" s="2"/>
      <c r="F178" s="2"/>
      <c r="G178" s="2"/>
    </row>
    <row r="179" spans="1:7" x14ac:dyDescent="0.25">
      <c r="A179" s="1" t="s">
        <v>275</v>
      </c>
      <c r="B179" s="2"/>
      <c r="C179" s="2"/>
      <c r="D179" s="2"/>
      <c r="E179" s="2"/>
      <c r="F179" s="2"/>
      <c r="G179" s="2"/>
    </row>
    <row r="180" spans="1:7" x14ac:dyDescent="0.25">
      <c r="A180" s="1" t="s">
        <v>276</v>
      </c>
      <c r="B180" s="2"/>
      <c r="C180" s="2"/>
      <c r="D180" s="2"/>
      <c r="E180" s="2"/>
      <c r="F180" s="2"/>
      <c r="G180" s="2"/>
    </row>
    <row r="181" spans="1:7" x14ac:dyDescent="0.25">
      <c r="A181" s="1" t="s">
        <v>277</v>
      </c>
      <c r="B181" s="2"/>
      <c r="C181" s="2"/>
      <c r="D181" s="2"/>
      <c r="E181" s="2"/>
      <c r="F181" s="2"/>
      <c r="G181" s="2"/>
    </row>
    <row r="182" spans="1:7" x14ac:dyDescent="0.25">
      <c r="A182" s="1" t="s">
        <v>278</v>
      </c>
      <c r="B182" s="2"/>
      <c r="C182" s="2"/>
      <c r="D182" s="2"/>
      <c r="E182" s="2"/>
      <c r="F182" s="2"/>
      <c r="G182" s="2"/>
    </row>
    <row r="183" spans="1:7" x14ac:dyDescent="0.25">
      <c r="A183" s="1" t="s">
        <v>279</v>
      </c>
      <c r="B183" s="2"/>
      <c r="C183" s="2"/>
      <c r="D183" s="2"/>
      <c r="E183" s="2"/>
      <c r="F183" s="2"/>
      <c r="G183" s="2"/>
    </row>
    <row r="184" spans="1:7" x14ac:dyDescent="0.25">
      <c r="A184" s="1" t="s">
        <v>280</v>
      </c>
      <c r="B184" s="2"/>
      <c r="C184" s="2"/>
      <c r="D184" s="2"/>
      <c r="E184" s="2"/>
      <c r="F184" s="2"/>
      <c r="G184" s="2"/>
    </row>
    <row r="185" spans="1:7" x14ac:dyDescent="0.25">
      <c r="A185" s="1" t="s">
        <v>281</v>
      </c>
      <c r="B185" s="2"/>
      <c r="C185" s="2"/>
      <c r="D185" s="2"/>
      <c r="E185" s="2"/>
      <c r="F185" s="2"/>
      <c r="G185" s="2"/>
    </row>
    <row r="186" spans="1:7" x14ac:dyDescent="0.25">
      <c r="A186" s="1" t="s">
        <v>282</v>
      </c>
      <c r="B186" s="2"/>
      <c r="C186" s="2"/>
      <c r="D186" s="2"/>
      <c r="E186" s="2"/>
      <c r="F186" s="2"/>
      <c r="G186" s="2"/>
    </row>
    <row r="187" spans="1:7" x14ac:dyDescent="0.25">
      <c r="A187" s="1" t="s">
        <v>283</v>
      </c>
      <c r="B187" s="2"/>
      <c r="C187" s="2"/>
      <c r="D187" s="2"/>
      <c r="E187" s="2"/>
      <c r="F187" s="2"/>
      <c r="G187" s="2"/>
    </row>
    <row r="188" spans="1:7" x14ac:dyDescent="0.25">
      <c r="A188" s="1" t="s">
        <v>284</v>
      </c>
      <c r="B188" s="2"/>
      <c r="C188" s="2"/>
      <c r="D188" s="2"/>
      <c r="E188" s="2"/>
      <c r="F188" s="2"/>
      <c r="G188" s="2"/>
    </row>
    <row r="189" spans="1:7" x14ac:dyDescent="0.25">
      <c r="A189" s="1" t="s">
        <v>285</v>
      </c>
      <c r="B189" s="2"/>
      <c r="C189" s="2"/>
      <c r="D189" s="2"/>
      <c r="E189" s="2"/>
      <c r="F189" s="2"/>
      <c r="G189" s="2"/>
    </row>
    <row r="190" spans="1:7" x14ac:dyDescent="0.25">
      <c r="A190" s="1" t="s">
        <v>286</v>
      </c>
      <c r="B190" s="2"/>
      <c r="C190" s="2"/>
      <c r="D190" s="2"/>
      <c r="E190" s="2"/>
      <c r="F190" s="2"/>
      <c r="G190" s="2"/>
    </row>
    <row r="191" spans="1:7" x14ac:dyDescent="0.25">
      <c r="A191" s="1" t="s">
        <v>287</v>
      </c>
      <c r="B191" s="2"/>
      <c r="C191" s="2"/>
      <c r="D191" s="2"/>
      <c r="E191" s="2"/>
      <c r="F191" s="2"/>
      <c r="G191" s="2"/>
    </row>
    <row r="192" spans="1:7" x14ac:dyDescent="0.25">
      <c r="A192" s="1" t="s">
        <v>288</v>
      </c>
      <c r="B192" s="2"/>
      <c r="C192" s="2"/>
      <c r="D192" s="2"/>
      <c r="E192" s="2"/>
      <c r="F192" s="2"/>
      <c r="G192" s="2"/>
    </row>
    <row r="193" spans="1:7" x14ac:dyDescent="0.25">
      <c r="A193" s="1" t="s">
        <v>289</v>
      </c>
      <c r="B193" s="2"/>
      <c r="C193" s="2"/>
      <c r="D193" s="2"/>
      <c r="E193" s="2"/>
      <c r="F193" s="2"/>
      <c r="G193" s="2"/>
    </row>
    <row r="194" spans="1:7" x14ac:dyDescent="0.25">
      <c r="A194" s="1" t="s">
        <v>290</v>
      </c>
      <c r="B194" s="2"/>
      <c r="C194" s="2"/>
      <c r="D194" s="2"/>
      <c r="E194" s="2"/>
      <c r="F194" s="2"/>
      <c r="G194" s="2"/>
    </row>
    <row r="195" spans="1:7" x14ac:dyDescent="0.25">
      <c r="A195" s="1" t="s">
        <v>291</v>
      </c>
      <c r="B195" s="2"/>
      <c r="C195" s="2"/>
      <c r="D195" s="2"/>
      <c r="E195" s="2"/>
      <c r="F195" s="2"/>
      <c r="G195" s="2"/>
    </row>
    <row r="196" spans="1:7" x14ac:dyDescent="0.25">
      <c r="A196" s="1" t="s">
        <v>292</v>
      </c>
      <c r="B196" s="2"/>
      <c r="C196" s="2"/>
      <c r="D196" s="2"/>
      <c r="E196" s="2"/>
      <c r="F196" s="2"/>
      <c r="G196" s="2"/>
    </row>
    <row r="197" spans="1:7" x14ac:dyDescent="0.25">
      <c r="A197" s="1" t="s">
        <v>293</v>
      </c>
      <c r="B197" s="2"/>
      <c r="C197" s="2"/>
      <c r="D197" s="2"/>
      <c r="E197" s="2"/>
      <c r="F197" s="2"/>
      <c r="G197" s="2"/>
    </row>
    <row r="198" spans="1:7" x14ac:dyDescent="0.25">
      <c r="A198" s="1" t="s">
        <v>294</v>
      </c>
      <c r="B198" s="2"/>
      <c r="C198" s="2"/>
      <c r="D198" s="2"/>
      <c r="E198" s="2"/>
      <c r="F198" s="2"/>
      <c r="G198" s="2"/>
    </row>
    <row r="199" spans="1:7" x14ac:dyDescent="0.25">
      <c r="A199" s="1" t="s">
        <v>295</v>
      </c>
      <c r="B199" s="2"/>
      <c r="C199" s="2"/>
      <c r="D199" s="2"/>
      <c r="E199" s="2"/>
      <c r="F199" s="2"/>
      <c r="G199" s="2"/>
    </row>
    <row r="200" spans="1:7" x14ac:dyDescent="0.25">
      <c r="A200" s="1" t="s">
        <v>296</v>
      </c>
      <c r="B200" s="2"/>
      <c r="C200" s="2"/>
      <c r="D200" s="2"/>
      <c r="E200" s="2"/>
      <c r="F200" s="2"/>
      <c r="G200" s="2"/>
    </row>
    <row r="201" spans="1:7" x14ac:dyDescent="0.25">
      <c r="A201" s="1" t="s">
        <v>297</v>
      </c>
      <c r="B201" s="2"/>
      <c r="C201" s="2"/>
      <c r="D201" s="2"/>
      <c r="E201" s="2"/>
      <c r="F201" s="2"/>
      <c r="G201" s="2"/>
    </row>
    <row r="202" spans="1:7" x14ac:dyDescent="0.25">
      <c r="A202" s="1" t="s">
        <v>298</v>
      </c>
      <c r="B202" s="2"/>
      <c r="C202" s="2"/>
      <c r="D202" s="2"/>
      <c r="E202" s="2"/>
      <c r="F202" s="2"/>
      <c r="G202" s="2"/>
    </row>
    <row r="203" spans="1:7" x14ac:dyDescent="0.25">
      <c r="A203" s="1" t="s">
        <v>299</v>
      </c>
      <c r="B203" s="2"/>
      <c r="C203" s="2"/>
      <c r="D203" s="2"/>
      <c r="E203" s="2"/>
      <c r="F203" s="2"/>
      <c r="G203" s="2"/>
    </row>
    <row r="204" spans="1:7" x14ac:dyDescent="0.25">
      <c r="A204" s="1" t="s">
        <v>300</v>
      </c>
      <c r="B204" s="2"/>
      <c r="C204" s="2"/>
      <c r="D204" s="2"/>
      <c r="E204" s="2"/>
      <c r="F204" s="2"/>
      <c r="G204" s="2"/>
    </row>
    <row r="205" spans="1:7" x14ac:dyDescent="0.25">
      <c r="A205" s="1" t="s">
        <v>301</v>
      </c>
      <c r="B205" s="2"/>
      <c r="C205" s="2"/>
      <c r="D205" s="2"/>
      <c r="E205" s="2"/>
      <c r="F205" s="2"/>
      <c r="G205" s="2"/>
    </row>
    <row r="206" spans="1:7" x14ac:dyDescent="0.25">
      <c r="A206" s="1" t="s">
        <v>302</v>
      </c>
      <c r="B206" s="2"/>
      <c r="C206" s="2"/>
      <c r="D206" s="2"/>
      <c r="E206" s="2"/>
      <c r="F206" s="2"/>
      <c r="G206" s="2"/>
    </row>
    <row r="207" spans="1:7" x14ac:dyDescent="0.25">
      <c r="A207" s="1" t="s">
        <v>303</v>
      </c>
      <c r="B207" s="2"/>
      <c r="C207" s="2"/>
      <c r="D207" s="2"/>
      <c r="E207" s="2"/>
      <c r="F207" s="2"/>
      <c r="G207" s="2"/>
    </row>
    <row r="208" spans="1:7" x14ac:dyDescent="0.25">
      <c r="A208" s="1" t="s">
        <v>304</v>
      </c>
      <c r="B208" s="2"/>
      <c r="C208" s="2"/>
      <c r="D208" s="2"/>
      <c r="E208" s="2"/>
      <c r="F208" s="2"/>
      <c r="G208" s="2"/>
    </row>
    <row r="209" spans="1:7" x14ac:dyDescent="0.25">
      <c r="A209" s="1" t="s">
        <v>305</v>
      </c>
      <c r="B209" s="2"/>
      <c r="C209" s="2"/>
      <c r="D209" s="2"/>
      <c r="E209" s="2"/>
      <c r="F209" s="2"/>
      <c r="G209" s="2"/>
    </row>
    <row r="210" spans="1:7" x14ac:dyDescent="0.25">
      <c r="A210" s="1" t="s">
        <v>306</v>
      </c>
      <c r="B210" s="2"/>
      <c r="C210" s="2"/>
      <c r="D210" s="2"/>
      <c r="E210" s="2"/>
      <c r="F210" s="2"/>
      <c r="G210" s="2"/>
    </row>
    <row r="211" spans="1:7" x14ac:dyDescent="0.25">
      <c r="A211" s="1" t="s">
        <v>307</v>
      </c>
      <c r="B211" s="2"/>
      <c r="C211" s="2"/>
      <c r="D211" s="2"/>
      <c r="E211" s="2"/>
      <c r="F211" s="2"/>
      <c r="G211" s="2"/>
    </row>
    <row r="212" spans="1:7" x14ac:dyDescent="0.25">
      <c r="A212" s="1" t="s">
        <v>308</v>
      </c>
      <c r="B212" s="2"/>
      <c r="C212" s="2"/>
      <c r="D212" s="2"/>
      <c r="E212" s="2"/>
      <c r="F212" s="2"/>
      <c r="G212" s="2"/>
    </row>
    <row r="213" spans="1:7" x14ac:dyDescent="0.25">
      <c r="A213" s="1" t="s">
        <v>309</v>
      </c>
      <c r="B213" s="2"/>
      <c r="C213" s="2"/>
      <c r="D213" s="2"/>
      <c r="E213" s="2"/>
      <c r="F213" s="2"/>
      <c r="G213" s="2"/>
    </row>
    <row r="214" spans="1:7" x14ac:dyDescent="0.25">
      <c r="A214" s="1" t="s">
        <v>310</v>
      </c>
      <c r="B214" s="2"/>
      <c r="C214" s="2"/>
      <c r="D214" s="2"/>
      <c r="E214" s="2"/>
      <c r="F214" s="2"/>
      <c r="G214" s="2"/>
    </row>
    <row r="215" spans="1:7" x14ac:dyDescent="0.25">
      <c r="A215" s="1" t="s">
        <v>311</v>
      </c>
      <c r="B215" s="2"/>
      <c r="C215" s="2"/>
      <c r="D215" s="2"/>
      <c r="E215" s="2"/>
      <c r="F215" s="2"/>
      <c r="G215" s="2"/>
    </row>
    <row r="216" spans="1:7" x14ac:dyDescent="0.25">
      <c r="A216" s="1" t="s">
        <v>312</v>
      </c>
      <c r="B216" s="2"/>
      <c r="C216" s="2"/>
      <c r="D216" s="2"/>
      <c r="E216" s="2"/>
      <c r="F216" s="2"/>
      <c r="G216" s="2"/>
    </row>
    <row r="217" spans="1:7" x14ac:dyDescent="0.25">
      <c r="A217" s="1" t="s">
        <v>313</v>
      </c>
      <c r="B217" s="2"/>
      <c r="C217" s="2"/>
      <c r="D217" s="2"/>
      <c r="E217" s="2"/>
      <c r="F217" s="2"/>
      <c r="G217" s="2"/>
    </row>
    <row r="218" spans="1:7" x14ac:dyDescent="0.25">
      <c r="A218" s="1" t="s">
        <v>314</v>
      </c>
      <c r="B218" s="2"/>
      <c r="C218" s="2"/>
      <c r="D218" s="2"/>
      <c r="E218" s="2"/>
      <c r="F218" s="2"/>
      <c r="G218" s="2"/>
    </row>
    <row r="219" spans="1:7" x14ac:dyDescent="0.25">
      <c r="A219" s="1" t="s">
        <v>315</v>
      </c>
      <c r="B219" s="2"/>
      <c r="C219" s="2"/>
      <c r="D219" s="2"/>
      <c r="E219" s="2"/>
      <c r="F219" s="2"/>
      <c r="G219" s="2"/>
    </row>
    <row r="220" spans="1:7" x14ac:dyDescent="0.25">
      <c r="A220" s="1" t="s">
        <v>316</v>
      </c>
      <c r="B220" s="2"/>
      <c r="C220" s="2"/>
      <c r="D220" s="2"/>
      <c r="E220" s="2"/>
      <c r="F220" s="2"/>
      <c r="G220" s="2"/>
    </row>
    <row r="221" spans="1:7" x14ac:dyDescent="0.25">
      <c r="A221" s="1" t="s">
        <v>317</v>
      </c>
      <c r="B221" s="2"/>
      <c r="C221" s="2"/>
      <c r="D221" s="2"/>
      <c r="E221" s="2"/>
      <c r="F221" s="2"/>
      <c r="G221" s="2"/>
    </row>
    <row r="222" spans="1:7" x14ac:dyDescent="0.25">
      <c r="A222" s="1" t="s">
        <v>318</v>
      </c>
      <c r="B222" s="2"/>
      <c r="C222" s="2"/>
      <c r="D222" s="2"/>
      <c r="E222" s="2"/>
      <c r="F222" s="2"/>
      <c r="G222" s="2"/>
    </row>
    <row r="223" spans="1:7" x14ac:dyDescent="0.25">
      <c r="A223" s="1" t="s">
        <v>319</v>
      </c>
      <c r="B223" s="2"/>
      <c r="C223" s="2"/>
      <c r="D223" s="2"/>
      <c r="E223" s="2"/>
      <c r="F223" s="2"/>
      <c r="G223" s="2"/>
    </row>
    <row r="224" spans="1:7" x14ac:dyDescent="0.25">
      <c r="A224" s="1" t="s">
        <v>320</v>
      </c>
      <c r="B224" s="2"/>
      <c r="C224" s="2"/>
      <c r="D224" s="2"/>
      <c r="E224" s="2"/>
      <c r="F224" s="2"/>
      <c r="G224" s="2"/>
    </row>
    <row r="225" spans="1:7" x14ac:dyDescent="0.25">
      <c r="A225" s="1" t="s">
        <v>321</v>
      </c>
      <c r="B225" s="2"/>
      <c r="C225" s="2"/>
      <c r="D225" s="2"/>
      <c r="E225" s="2"/>
      <c r="F225" s="2"/>
      <c r="G225" s="2"/>
    </row>
    <row r="226" spans="1:7" x14ac:dyDescent="0.25">
      <c r="A226" s="1" t="s">
        <v>322</v>
      </c>
      <c r="B226" s="2"/>
      <c r="C226" s="2"/>
      <c r="D226" s="2"/>
      <c r="E226" s="2"/>
      <c r="F226" s="2"/>
      <c r="G226" s="2"/>
    </row>
    <row r="227" spans="1:7" x14ac:dyDescent="0.25">
      <c r="A227" s="1" t="s">
        <v>323</v>
      </c>
      <c r="B227" s="2"/>
      <c r="C227" s="2"/>
      <c r="D227" s="2"/>
      <c r="E227" s="2"/>
      <c r="F227" s="2"/>
      <c r="G227" s="2"/>
    </row>
    <row r="228" spans="1:7" x14ac:dyDescent="0.25">
      <c r="A228" s="1" t="s">
        <v>324</v>
      </c>
      <c r="B228" s="2"/>
      <c r="C228" s="2"/>
      <c r="D228" s="2"/>
      <c r="E228" s="2"/>
      <c r="F228" s="2"/>
      <c r="G228" s="2"/>
    </row>
    <row r="229" spans="1:7" x14ac:dyDescent="0.25">
      <c r="A229" s="1" t="s">
        <v>325</v>
      </c>
      <c r="B229" s="2"/>
      <c r="C229" s="2"/>
      <c r="D229" s="2"/>
      <c r="E229" s="2"/>
      <c r="F229" s="2"/>
      <c r="G229" s="2"/>
    </row>
    <row r="230" spans="1:7" x14ac:dyDescent="0.25">
      <c r="A230" s="1" t="s">
        <v>326</v>
      </c>
      <c r="B230" s="2"/>
      <c r="C230" s="2"/>
      <c r="D230" s="2"/>
      <c r="E230" s="2"/>
      <c r="F230" s="2"/>
      <c r="G230" s="2"/>
    </row>
    <row r="231" spans="1:7" x14ac:dyDescent="0.25">
      <c r="A231" s="1" t="s">
        <v>327</v>
      </c>
      <c r="B231" s="2"/>
      <c r="C231" s="2"/>
      <c r="D231" s="2"/>
      <c r="E231" s="2"/>
      <c r="F231" s="2"/>
      <c r="G231" s="2"/>
    </row>
    <row r="232" spans="1:7" x14ac:dyDescent="0.25">
      <c r="A232" s="1" t="s">
        <v>328</v>
      </c>
      <c r="B232" s="2"/>
      <c r="C232" s="2"/>
      <c r="D232" s="2"/>
      <c r="E232" s="2"/>
      <c r="F232" s="2"/>
      <c r="G232" s="2"/>
    </row>
    <row r="233" spans="1:7" x14ac:dyDescent="0.25">
      <c r="A233" s="1" t="s">
        <v>329</v>
      </c>
      <c r="B233" s="2"/>
      <c r="C233" s="2"/>
      <c r="D233" s="2"/>
      <c r="E233" s="2"/>
      <c r="F233" s="2"/>
      <c r="G233" s="2"/>
    </row>
    <row r="234" spans="1:7" x14ac:dyDescent="0.25">
      <c r="A234" s="1" t="s">
        <v>330</v>
      </c>
      <c r="B234" s="2"/>
      <c r="C234" s="2"/>
      <c r="D234" s="2"/>
      <c r="E234" s="2"/>
      <c r="F234" s="2"/>
      <c r="G234" s="2"/>
    </row>
    <row r="235" spans="1:7" x14ac:dyDescent="0.25">
      <c r="A235" s="1" t="s">
        <v>331</v>
      </c>
      <c r="B235" s="2"/>
      <c r="C235" s="2"/>
      <c r="D235" s="2"/>
      <c r="E235" s="2"/>
      <c r="F235" s="2"/>
      <c r="G235" s="2"/>
    </row>
    <row r="236" spans="1:7" x14ac:dyDescent="0.25">
      <c r="A236" s="1" t="s">
        <v>332</v>
      </c>
      <c r="B236" s="2"/>
      <c r="C236" s="2"/>
      <c r="D236" s="2"/>
      <c r="E236" s="2"/>
      <c r="F236" s="2"/>
      <c r="G236" s="2"/>
    </row>
    <row r="237" spans="1:7" x14ac:dyDescent="0.25">
      <c r="A237" s="1" t="s">
        <v>333</v>
      </c>
      <c r="B237" s="2"/>
      <c r="C237" s="2"/>
      <c r="D237" s="2"/>
      <c r="E237" s="2"/>
      <c r="F237" s="2"/>
      <c r="G237" s="2"/>
    </row>
    <row r="238" spans="1:7" x14ac:dyDescent="0.25">
      <c r="A238" s="1" t="s">
        <v>334</v>
      </c>
      <c r="B238" s="2"/>
      <c r="C238" s="2"/>
      <c r="D238" s="2"/>
      <c r="E238" s="2"/>
      <c r="F238" s="2"/>
      <c r="G238" s="2"/>
    </row>
    <row r="239" spans="1:7" x14ac:dyDescent="0.25">
      <c r="A239" s="1" t="s">
        <v>335</v>
      </c>
      <c r="B239" s="2"/>
      <c r="C239" s="2"/>
      <c r="D239" s="2"/>
      <c r="E239" s="2"/>
      <c r="F239" s="2"/>
      <c r="G239" s="2"/>
    </row>
    <row r="240" spans="1:7" x14ac:dyDescent="0.25">
      <c r="A240" s="1" t="s">
        <v>336</v>
      </c>
      <c r="B240" s="2"/>
      <c r="C240" s="2"/>
      <c r="D240" s="2"/>
      <c r="E240" s="2"/>
      <c r="F240" s="2"/>
      <c r="G240" s="2"/>
    </row>
    <row r="241" spans="1:7" x14ac:dyDescent="0.25">
      <c r="A241" s="1" t="s">
        <v>337</v>
      </c>
      <c r="B241" s="2"/>
      <c r="C241" s="2"/>
      <c r="D241" s="2"/>
      <c r="E241" s="2"/>
      <c r="F241" s="2"/>
      <c r="G241" s="2"/>
    </row>
    <row r="242" spans="1:7" x14ac:dyDescent="0.25">
      <c r="A242" s="1" t="s">
        <v>338</v>
      </c>
      <c r="B242" s="2"/>
      <c r="C242" s="2"/>
      <c r="D242" s="2"/>
      <c r="E242" s="2"/>
      <c r="F242" s="2"/>
      <c r="G242" s="2"/>
    </row>
    <row r="243" spans="1:7" x14ac:dyDescent="0.25">
      <c r="A243" s="1" t="s">
        <v>339</v>
      </c>
      <c r="B243" s="2"/>
      <c r="C243" s="2"/>
      <c r="D243" s="2"/>
      <c r="E243" s="2"/>
      <c r="F243" s="2"/>
      <c r="G243" s="2"/>
    </row>
    <row r="244" spans="1:7" x14ac:dyDescent="0.25">
      <c r="A244" s="1" t="s">
        <v>340</v>
      </c>
      <c r="B244" s="2"/>
      <c r="C244" s="2"/>
      <c r="D244" s="2"/>
      <c r="E244" s="2"/>
      <c r="F244" s="2"/>
      <c r="G244" s="2"/>
    </row>
    <row r="245" spans="1:7" x14ac:dyDescent="0.25">
      <c r="A245" s="1" t="s">
        <v>341</v>
      </c>
      <c r="B245" s="2"/>
      <c r="C245" s="2"/>
      <c r="D245" s="2"/>
      <c r="E245" s="2"/>
      <c r="F245" s="2"/>
      <c r="G245" s="2"/>
    </row>
    <row r="246" spans="1:7" x14ac:dyDescent="0.25">
      <c r="A246" s="1" t="s">
        <v>342</v>
      </c>
      <c r="B246" s="2"/>
      <c r="C246" s="2"/>
      <c r="D246" s="2"/>
      <c r="E246" s="2"/>
      <c r="F246" s="2"/>
      <c r="G246" s="2"/>
    </row>
    <row r="247" spans="1:7" x14ac:dyDescent="0.25">
      <c r="A247" s="1" t="s">
        <v>343</v>
      </c>
      <c r="B247" s="2"/>
      <c r="C247" s="2"/>
      <c r="D247" s="2"/>
      <c r="E247" s="2"/>
      <c r="F247" s="2"/>
      <c r="G247" s="2"/>
    </row>
    <row r="248" spans="1:7" x14ac:dyDescent="0.25">
      <c r="A248" s="1" t="s">
        <v>344</v>
      </c>
      <c r="B248" s="2"/>
      <c r="C248" s="2"/>
      <c r="D248" s="2"/>
      <c r="E248" s="2"/>
      <c r="F248" s="2"/>
      <c r="G248" s="2"/>
    </row>
    <row r="249" spans="1:7" x14ac:dyDescent="0.25">
      <c r="A249" s="1" t="s">
        <v>345</v>
      </c>
      <c r="B249" s="2"/>
      <c r="C249" s="2"/>
      <c r="D249" s="2"/>
      <c r="E249" s="2"/>
      <c r="F249" s="2"/>
      <c r="G249" s="2"/>
    </row>
    <row r="250" spans="1:7" x14ac:dyDescent="0.25">
      <c r="A250" s="1" t="s">
        <v>346</v>
      </c>
      <c r="B250" s="2"/>
      <c r="C250" s="2"/>
      <c r="D250" s="2"/>
      <c r="E250" s="2"/>
      <c r="F250" s="2"/>
      <c r="G250" s="2"/>
    </row>
    <row r="251" spans="1:7" x14ac:dyDescent="0.25">
      <c r="A251" s="1" t="s">
        <v>347</v>
      </c>
      <c r="B251" s="2"/>
      <c r="C251" s="2"/>
      <c r="D251" s="2"/>
      <c r="E251" s="2"/>
      <c r="F251" s="2"/>
      <c r="G251" s="2"/>
    </row>
    <row r="252" spans="1:7" x14ac:dyDescent="0.25">
      <c r="A252" s="1" t="s">
        <v>348</v>
      </c>
      <c r="B252" s="2"/>
      <c r="C252" s="2"/>
      <c r="D252" s="2"/>
      <c r="E252" s="2"/>
      <c r="F252" s="2"/>
      <c r="G252" s="2"/>
    </row>
    <row r="253" spans="1:7" x14ac:dyDescent="0.25">
      <c r="A253" s="1" t="s">
        <v>349</v>
      </c>
      <c r="B253" s="2"/>
      <c r="C253" s="2"/>
      <c r="D253" s="2"/>
      <c r="E253" s="2"/>
      <c r="F253" s="2"/>
      <c r="G253" s="2"/>
    </row>
    <row r="254" spans="1:7" x14ac:dyDescent="0.25">
      <c r="A254" s="1" t="s">
        <v>350</v>
      </c>
      <c r="B254" s="2"/>
      <c r="C254" s="2"/>
      <c r="D254" s="2"/>
      <c r="E254" s="2"/>
      <c r="F254" s="2"/>
      <c r="G254" s="2"/>
    </row>
    <row r="255" spans="1:7" x14ac:dyDescent="0.25">
      <c r="A255" s="1" t="s">
        <v>351</v>
      </c>
      <c r="B255" s="2"/>
      <c r="C255" s="2"/>
      <c r="D255" s="2"/>
      <c r="E255" s="2"/>
      <c r="F255" s="2"/>
      <c r="G255" s="2"/>
    </row>
    <row r="256" spans="1:7" x14ac:dyDescent="0.25">
      <c r="A256" s="1" t="s">
        <v>352</v>
      </c>
      <c r="B256" s="2"/>
      <c r="C256" s="2"/>
      <c r="D256" s="2"/>
      <c r="E256" s="2"/>
      <c r="F256" s="2"/>
      <c r="G256" s="2"/>
    </row>
    <row r="257" spans="1:7" x14ac:dyDescent="0.25">
      <c r="A257" s="1" t="s">
        <v>353</v>
      </c>
      <c r="B257" s="2"/>
      <c r="C257" s="2"/>
      <c r="D257" s="2"/>
      <c r="E257" s="2"/>
      <c r="F257" s="2"/>
      <c r="G257" s="2"/>
    </row>
    <row r="258" spans="1:7" x14ac:dyDescent="0.25">
      <c r="A258" s="1" t="s">
        <v>354</v>
      </c>
      <c r="B258" s="2"/>
      <c r="C258" s="2"/>
      <c r="D258" s="2"/>
      <c r="E258" s="2"/>
      <c r="F258" s="2"/>
      <c r="G258" s="2"/>
    </row>
    <row r="259" spans="1:7" x14ac:dyDescent="0.25">
      <c r="A259" s="1" t="s">
        <v>355</v>
      </c>
      <c r="B259" s="2"/>
      <c r="C259" s="2"/>
      <c r="D259" s="2"/>
      <c r="E259" s="2"/>
      <c r="F259" s="2"/>
      <c r="G259" s="2"/>
    </row>
    <row r="260" spans="1:7" x14ac:dyDescent="0.25">
      <c r="A260" s="1" t="s">
        <v>356</v>
      </c>
      <c r="B260" s="2"/>
      <c r="C260" s="2"/>
      <c r="D260" s="2"/>
      <c r="E260" s="2"/>
      <c r="F260" s="2"/>
      <c r="G260" s="2"/>
    </row>
    <row r="261" spans="1:7" x14ac:dyDescent="0.25">
      <c r="A261" s="1" t="s">
        <v>357</v>
      </c>
      <c r="B261" s="2"/>
      <c r="C261" s="2"/>
      <c r="D261" s="2"/>
      <c r="E261" s="2"/>
      <c r="F261" s="2"/>
      <c r="G261" s="2"/>
    </row>
    <row r="262" spans="1:7" x14ac:dyDescent="0.25">
      <c r="A262" s="1" t="s">
        <v>358</v>
      </c>
      <c r="B262" s="2"/>
      <c r="C262" s="2"/>
      <c r="D262" s="2"/>
      <c r="E262" s="2"/>
      <c r="F262" s="2"/>
      <c r="G262" s="2"/>
    </row>
    <row r="263" spans="1:7" x14ac:dyDescent="0.25">
      <c r="A263" s="1" t="s">
        <v>359</v>
      </c>
      <c r="B263" s="2"/>
      <c r="C263" s="2"/>
      <c r="D263" s="2"/>
      <c r="E263" s="2"/>
      <c r="F263" s="2"/>
      <c r="G263" s="2"/>
    </row>
    <row r="264" spans="1:7" x14ac:dyDescent="0.25">
      <c r="A264" s="1" t="s">
        <v>360</v>
      </c>
      <c r="B264" s="2"/>
      <c r="C264" s="2"/>
      <c r="D264" s="2"/>
      <c r="E264" s="2"/>
      <c r="F264" s="2"/>
      <c r="G264" s="2"/>
    </row>
    <row r="265" spans="1:7" x14ac:dyDescent="0.25">
      <c r="A265" s="1" t="s">
        <v>361</v>
      </c>
    </row>
    <row r="266" spans="1:7" x14ac:dyDescent="0.25">
      <c r="A266" s="1" t="s">
        <v>362</v>
      </c>
    </row>
    <row r="267" spans="1:7" x14ac:dyDescent="0.25">
      <c r="A267" s="1" t="s">
        <v>363</v>
      </c>
    </row>
    <row r="268" spans="1:7" x14ac:dyDescent="0.25">
      <c r="A268" s="1" t="s">
        <v>364</v>
      </c>
    </row>
    <row r="269" spans="1:7" x14ac:dyDescent="0.25">
      <c r="A269" s="1" t="s">
        <v>365</v>
      </c>
    </row>
    <row r="270" spans="1:7" x14ac:dyDescent="0.25">
      <c r="A270" s="1" t="s">
        <v>366</v>
      </c>
    </row>
    <row r="271" spans="1:7" x14ac:dyDescent="0.25">
      <c r="A271" s="1" t="s">
        <v>367</v>
      </c>
    </row>
    <row r="272" spans="1:7" x14ac:dyDescent="0.25">
      <c r="A272" s="1" t="s">
        <v>368</v>
      </c>
    </row>
    <row r="273" spans="1:1" x14ac:dyDescent="0.25">
      <c r="A273" s="1" t="s">
        <v>369</v>
      </c>
    </row>
    <row r="274" spans="1:1" x14ac:dyDescent="0.25">
      <c r="A274" s="1" t="s">
        <v>370</v>
      </c>
    </row>
    <row r="275" spans="1:1" x14ac:dyDescent="0.25">
      <c r="A275" s="1" t="s">
        <v>371</v>
      </c>
    </row>
    <row r="276" spans="1:1" x14ac:dyDescent="0.25">
      <c r="A276" s="1" t="s">
        <v>372</v>
      </c>
    </row>
    <row r="277" spans="1:1" x14ac:dyDescent="0.25">
      <c r="A277" s="1" t="s">
        <v>373</v>
      </c>
    </row>
    <row r="278" spans="1:1" x14ac:dyDescent="0.25">
      <c r="A278" s="1" t="s">
        <v>374</v>
      </c>
    </row>
    <row r="279" spans="1:1" x14ac:dyDescent="0.25">
      <c r="A279" s="1" t="s">
        <v>375</v>
      </c>
    </row>
    <row r="280" spans="1:1" x14ac:dyDescent="0.25">
      <c r="A280" s="1" t="s">
        <v>376</v>
      </c>
    </row>
    <row r="281" spans="1:1" x14ac:dyDescent="0.25">
      <c r="A281" s="1" t="s">
        <v>377</v>
      </c>
    </row>
    <row r="282" spans="1:1" x14ac:dyDescent="0.25">
      <c r="A282" s="1" t="s">
        <v>378</v>
      </c>
    </row>
    <row r="283" spans="1:1" x14ac:dyDescent="0.25">
      <c r="A283" s="1" t="s">
        <v>379</v>
      </c>
    </row>
    <row r="284" spans="1:1" x14ac:dyDescent="0.25">
      <c r="A284" s="1" t="s">
        <v>380</v>
      </c>
    </row>
    <row r="285" spans="1:1" x14ac:dyDescent="0.25">
      <c r="A285" s="1" t="s">
        <v>381</v>
      </c>
    </row>
    <row r="286" spans="1:1" x14ac:dyDescent="0.25">
      <c r="A286" s="1" t="s">
        <v>382</v>
      </c>
    </row>
    <row r="287" spans="1:1" x14ac:dyDescent="0.25">
      <c r="A287" s="1" t="s">
        <v>383</v>
      </c>
    </row>
    <row r="288" spans="1:1" x14ac:dyDescent="0.25">
      <c r="A288" s="1" t="s">
        <v>384</v>
      </c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8"/>
  <sheetViews>
    <sheetView topLeftCell="A94" workbookViewId="0">
      <selection activeCell="G108" sqref="G108"/>
    </sheetView>
  </sheetViews>
  <sheetFormatPr defaultColWidth="9" defaultRowHeight="15" x14ac:dyDescent="0.25"/>
  <cols>
    <col min="1" max="1" width="25" customWidth="1"/>
    <col min="2" max="2" width="13.08203125" customWidth="1"/>
    <col min="6" max="6" width="14" customWidth="1"/>
  </cols>
  <sheetData>
    <row r="1" spans="1:7" x14ac:dyDescent="0.25">
      <c r="A1" s="1" t="s">
        <v>97</v>
      </c>
      <c r="B1">
        <v>77326.066999999995</v>
      </c>
      <c r="C1">
        <v>40.795999999999999</v>
      </c>
      <c r="D1">
        <v>49.128100000000003</v>
      </c>
      <c r="E1">
        <v>47.654499999999999</v>
      </c>
      <c r="F1">
        <v>60248.156000000003</v>
      </c>
      <c r="G1">
        <v>24.350999999999999</v>
      </c>
    </row>
    <row r="2" spans="1:7" x14ac:dyDescent="0.25">
      <c r="A2" s="1" t="s">
        <v>98</v>
      </c>
      <c r="B2">
        <v>41805.145900000003</v>
      </c>
      <c r="C2">
        <v>40.1477</v>
      </c>
      <c r="D2">
        <v>48.34</v>
      </c>
      <c r="E2">
        <v>46.534700000000001</v>
      </c>
      <c r="F2">
        <v>35017.171999999999</v>
      </c>
      <c r="G2">
        <v>23.751999999999999</v>
      </c>
    </row>
    <row r="3" spans="1:7" x14ac:dyDescent="0.25">
      <c r="A3" s="1" t="s">
        <v>99</v>
      </c>
      <c r="B3">
        <v>25005.716799999998</v>
      </c>
      <c r="C3">
        <v>39.414299999999997</v>
      </c>
      <c r="D3">
        <v>47.361600000000003</v>
      </c>
      <c r="E3">
        <v>45.247599999999998</v>
      </c>
      <c r="F3">
        <v>21151.995999999999</v>
      </c>
      <c r="G3">
        <v>23.010999999999999</v>
      </c>
    </row>
    <row r="4" spans="1:7" x14ac:dyDescent="0.25">
      <c r="A4" s="1" t="s">
        <v>100</v>
      </c>
      <c r="B4">
        <v>14252.0432</v>
      </c>
      <c r="C4">
        <v>38.187600000000003</v>
      </c>
      <c r="D4">
        <v>45.860599999999998</v>
      </c>
      <c r="E4">
        <v>43.451900000000002</v>
      </c>
      <c r="F4">
        <v>11708.884</v>
      </c>
      <c r="G4">
        <v>24.17</v>
      </c>
    </row>
    <row r="5" spans="1:7" x14ac:dyDescent="0.25">
      <c r="A5" s="1" t="s">
        <v>101</v>
      </c>
      <c r="B5">
        <v>410010.8737</v>
      </c>
      <c r="C5">
        <v>42.506399999999999</v>
      </c>
      <c r="D5">
        <v>40.653100000000002</v>
      </c>
      <c r="E5">
        <v>40.539900000000003</v>
      </c>
      <c r="F5">
        <v>93041.562999999995</v>
      </c>
      <c r="G5">
        <v>34.887</v>
      </c>
    </row>
    <row r="6" spans="1:7" x14ac:dyDescent="0.25">
      <c r="A6" s="1" t="s">
        <v>102</v>
      </c>
      <c r="B6">
        <v>265144.09470000002</v>
      </c>
      <c r="C6">
        <v>39.814999999999998</v>
      </c>
      <c r="D6">
        <v>37.919699999999999</v>
      </c>
      <c r="E6">
        <v>37.844499999999996</v>
      </c>
      <c r="F6">
        <v>75472.452999999994</v>
      </c>
      <c r="G6">
        <v>30.503</v>
      </c>
    </row>
    <row r="7" spans="1:7" x14ac:dyDescent="0.25">
      <c r="A7" s="1" t="s">
        <v>103</v>
      </c>
      <c r="B7">
        <v>150572.2947</v>
      </c>
      <c r="C7">
        <v>36.7425</v>
      </c>
      <c r="D7">
        <v>35.396599999999999</v>
      </c>
      <c r="E7">
        <v>35.390099999999997</v>
      </c>
      <c r="F7">
        <v>57293.425999999999</v>
      </c>
      <c r="G7">
        <v>27.31</v>
      </c>
    </row>
    <row r="8" spans="1:7" x14ac:dyDescent="0.25">
      <c r="A8" s="1" t="s">
        <v>104</v>
      </c>
      <c r="B8">
        <v>68663.284199999995</v>
      </c>
      <c r="C8">
        <v>33.5379</v>
      </c>
      <c r="D8">
        <v>32.751100000000001</v>
      </c>
      <c r="E8">
        <v>32.837299999999999</v>
      </c>
      <c r="F8">
        <v>37447.199000000001</v>
      </c>
      <c r="G8">
        <v>24.044</v>
      </c>
    </row>
    <row r="9" spans="1:7" x14ac:dyDescent="0.25">
      <c r="A9" s="1" t="s">
        <v>105</v>
      </c>
      <c r="B9">
        <v>162062.28</v>
      </c>
      <c r="C9">
        <v>41.927199999999999</v>
      </c>
      <c r="D9">
        <v>40.470100000000002</v>
      </c>
      <c r="E9">
        <v>40.414000000000001</v>
      </c>
      <c r="F9">
        <v>93007.531000000003</v>
      </c>
      <c r="G9">
        <v>29.140999999999998</v>
      </c>
    </row>
    <row r="10" spans="1:7" x14ac:dyDescent="0.25">
      <c r="A10" s="1" t="s">
        <v>106</v>
      </c>
      <c r="B10">
        <v>81165.84</v>
      </c>
      <c r="C10">
        <v>39.341099999999997</v>
      </c>
      <c r="D10">
        <v>38.466299999999997</v>
      </c>
      <c r="E10">
        <v>38.392800000000001</v>
      </c>
      <c r="F10">
        <v>62659.27</v>
      </c>
      <c r="G10">
        <v>24.067</v>
      </c>
    </row>
    <row r="11" spans="1:7" x14ac:dyDescent="0.25">
      <c r="A11" s="1" t="s">
        <v>107</v>
      </c>
      <c r="B11">
        <v>41229.473700000002</v>
      </c>
      <c r="C11">
        <v>37.504600000000003</v>
      </c>
      <c r="D11">
        <v>36.943100000000001</v>
      </c>
      <c r="E11">
        <v>36.848300000000002</v>
      </c>
      <c r="F11">
        <v>39871.476999999999</v>
      </c>
      <c r="G11">
        <v>22.024000000000001</v>
      </c>
    </row>
    <row r="12" spans="1:7" x14ac:dyDescent="0.25">
      <c r="A12" s="1" t="s">
        <v>108</v>
      </c>
      <c r="B12">
        <v>20232.48</v>
      </c>
      <c r="C12">
        <v>35.661499999999997</v>
      </c>
      <c r="D12">
        <v>35.067</v>
      </c>
      <c r="E12">
        <v>34.994900000000001</v>
      </c>
      <c r="F12">
        <v>23567.484</v>
      </c>
      <c r="G12">
        <v>19.832000000000001</v>
      </c>
    </row>
    <row r="13" spans="1:7" x14ac:dyDescent="0.25">
      <c r="A13" s="1" t="s">
        <v>109</v>
      </c>
      <c r="B13">
        <v>178583.04000000001</v>
      </c>
      <c r="C13">
        <v>38.594700000000003</v>
      </c>
      <c r="D13">
        <v>45.4786</v>
      </c>
      <c r="E13">
        <v>43.281300000000002</v>
      </c>
      <c r="F13">
        <v>102913.242</v>
      </c>
      <c r="G13">
        <v>29.826000000000001</v>
      </c>
    </row>
    <row r="14" spans="1:7" x14ac:dyDescent="0.25">
      <c r="A14" s="1" t="s">
        <v>110</v>
      </c>
      <c r="B14">
        <v>87396.656799999997</v>
      </c>
      <c r="C14">
        <v>37.6586</v>
      </c>
      <c r="D14">
        <v>44.52</v>
      </c>
      <c r="E14">
        <v>42.118699999999997</v>
      </c>
      <c r="F14">
        <v>63358.421999999999</v>
      </c>
      <c r="G14">
        <v>26.24</v>
      </c>
    </row>
    <row r="15" spans="1:7" x14ac:dyDescent="0.25">
      <c r="A15" s="1" t="s">
        <v>111</v>
      </c>
      <c r="B15">
        <v>50147.936800000003</v>
      </c>
      <c r="C15">
        <v>36.726399999999998</v>
      </c>
      <c r="D15">
        <v>43.463099999999997</v>
      </c>
      <c r="E15">
        <v>40.907800000000002</v>
      </c>
      <c r="F15">
        <v>39287.542999999998</v>
      </c>
      <c r="G15">
        <v>24.673999999999999</v>
      </c>
    </row>
    <row r="16" spans="1:7" x14ac:dyDescent="0.25">
      <c r="A16" s="1" t="s">
        <v>112</v>
      </c>
      <c r="B16">
        <v>26392.4211</v>
      </c>
      <c r="C16">
        <v>35.220999999999997</v>
      </c>
      <c r="D16">
        <v>41.998699999999999</v>
      </c>
      <c r="E16">
        <v>39.505899999999997</v>
      </c>
      <c r="F16">
        <v>23370.523000000001</v>
      </c>
      <c r="G16">
        <v>22.084</v>
      </c>
    </row>
    <row r="17" spans="1:7" x14ac:dyDescent="0.25">
      <c r="A17" s="1" t="s">
        <v>113</v>
      </c>
      <c r="B17">
        <v>68251.168300000005</v>
      </c>
      <c r="C17">
        <v>39.540900000000001</v>
      </c>
      <c r="D17">
        <v>40.373800000000003</v>
      </c>
      <c r="E17">
        <v>43.2776</v>
      </c>
      <c r="F17">
        <v>50653.02</v>
      </c>
      <c r="G17">
        <v>14.077999999999999</v>
      </c>
    </row>
    <row r="18" spans="1:7" x14ac:dyDescent="0.25">
      <c r="A18" s="1" t="s">
        <v>114</v>
      </c>
      <c r="B18">
        <v>40725.015899999999</v>
      </c>
      <c r="C18">
        <v>37.896000000000001</v>
      </c>
      <c r="D18">
        <v>39.329700000000003</v>
      </c>
      <c r="E18">
        <v>41.797899999999998</v>
      </c>
      <c r="F18">
        <v>36180.366999999998</v>
      </c>
      <c r="G18">
        <v>12.137</v>
      </c>
    </row>
    <row r="19" spans="1:7" x14ac:dyDescent="0.25">
      <c r="A19" s="1" t="s">
        <v>115</v>
      </c>
      <c r="B19">
        <v>23426.171399999999</v>
      </c>
      <c r="C19">
        <v>35.972299999999997</v>
      </c>
      <c r="D19">
        <v>38.3996</v>
      </c>
      <c r="E19">
        <v>40.350499999999997</v>
      </c>
      <c r="F19">
        <v>25554.838</v>
      </c>
      <c r="G19">
        <v>11.295</v>
      </c>
    </row>
    <row r="20" spans="1:7" x14ac:dyDescent="0.25">
      <c r="A20" s="1" t="s">
        <v>116</v>
      </c>
      <c r="B20">
        <v>11930.450800000001</v>
      </c>
      <c r="C20">
        <v>33.494199999999999</v>
      </c>
      <c r="D20">
        <v>37.164700000000003</v>
      </c>
      <c r="E20">
        <v>38.605400000000003</v>
      </c>
      <c r="F20">
        <v>16464.41</v>
      </c>
      <c r="G20">
        <v>10.025</v>
      </c>
    </row>
    <row r="21" spans="1:7" x14ac:dyDescent="0.25">
      <c r="A21" s="1" t="s">
        <v>117</v>
      </c>
      <c r="B21">
        <v>42984.514300000003</v>
      </c>
      <c r="C21">
        <v>40.180399999999999</v>
      </c>
      <c r="D21">
        <v>44.067500000000003</v>
      </c>
      <c r="E21">
        <v>45.478400000000001</v>
      </c>
      <c r="F21">
        <v>34025.203000000001</v>
      </c>
      <c r="G21">
        <v>12.27</v>
      </c>
    </row>
    <row r="22" spans="1:7" x14ac:dyDescent="0.25">
      <c r="A22" s="1" t="s">
        <v>118</v>
      </c>
      <c r="B22">
        <v>23418.533299999999</v>
      </c>
      <c r="C22">
        <v>38.700499999999998</v>
      </c>
      <c r="D22">
        <v>43.032400000000003</v>
      </c>
      <c r="E22">
        <v>43.960700000000003</v>
      </c>
      <c r="F22">
        <v>23228.705000000002</v>
      </c>
      <c r="G22">
        <v>11.055</v>
      </c>
    </row>
    <row r="23" spans="1:7" x14ac:dyDescent="0.25">
      <c r="A23" s="1" t="s">
        <v>119</v>
      </c>
      <c r="B23">
        <v>13147.530199999999</v>
      </c>
      <c r="C23">
        <v>37.241399999999999</v>
      </c>
      <c r="D23">
        <v>41.881</v>
      </c>
      <c r="E23">
        <v>42.364699999999999</v>
      </c>
      <c r="F23">
        <v>16105.316000000001</v>
      </c>
      <c r="G23">
        <v>10.145</v>
      </c>
    </row>
    <row r="24" spans="1:7" x14ac:dyDescent="0.25">
      <c r="A24" s="1" t="s">
        <v>120</v>
      </c>
      <c r="B24">
        <v>7005.5873000000001</v>
      </c>
      <c r="C24">
        <v>35.307200000000002</v>
      </c>
      <c r="D24">
        <v>40.345100000000002</v>
      </c>
      <c r="E24">
        <v>40.388199999999998</v>
      </c>
      <c r="F24">
        <v>10774.976000000001</v>
      </c>
      <c r="G24">
        <v>9.75</v>
      </c>
    </row>
    <row r="25" spans="1:7" x14ac:dyDescent="0.25">
      <c r="A25" s="1" t="s">
        <v>121</v>
      </c>
      <c r="B25">
        <v>65097.747199999998</v>
      </c>
      <c r="C25">
        <v>41.680999999999997</v>
      </c>
      <c r="D25">
        <v>44.174599999999998</v>
      </c>
      <c r="E25">
        <v>44.926200000000001</v>
      </c>
      <c r="F25">
        <v>44602.563000000002</v>
      </c>
      <c r="G25">
        <v>15.996</v>
      </c>
    </row>
    <row r="26" spans="1:7" x14ac:dyDescent="0.25">
      <c r="A26" s="1" t="s">
        <v>122</v>
      </c>
      <c r="B26">
        <v>41948.4352</v>
      </c>
      <c r="C26">
        <v>39.885800000000003</v>
      </c>
      <c r="D26">
        <v>42.6541</v>
      </c>
      <c r="E26">
        <v>43.603299999999997</v>
      </c>
      <c r="F26">
        <v>34453.641000000003</v>
      </c>
      <c r="G26">
        <v>15.239000000000001</v>
      </c>
    </row>
    <row r="27" spans="1:7" x14ac:dyDescent="0.25">
      <c r="A27" s="1" t="s">
        <v>123</v>
      </c>
      <c r="B27">
        <v>24641.990399999999</v>
      </c>
      <c r="C27">
        <v>37.669499999999999</v>
      </c>
      <c r="D27">
        <v>41.270099999999999</v>
      </c>
      <c r="E27">
        <v>42.2532</v>
      </c>
      <c r="F27">
        <v>24445.641</v>
      </c>
      <c r="G27">
        <v>13.125999999999999</v>
      </c>
    </row>
    <row r="28" spans="1:7" x14ac:dyDescent="0.25">
      <c r="A28" s="1" t="s">
        <v>124</v>
      </c>
      <c r="B28">
        <v>12441.606400000001</v>
      </c>
      <c r="C28">
        <v>34.991700000000002</v>
      </c>
      <c r="D28">
        <v>39.685000000000002</v>
      </c>
      <c r="E28">
        <v>40.592100000000002</v>
      </c>
      <c r="F28">
        <v>15183.129000000001</v>
      </c>
      <c r="G28">
        <v>11.776999999999999</v>
      </c>
    </row>
    <row r="29" spans="1:7" x14ac:dyDescent="0.25">
      <c r="A29" s="1" t="s">
        <v>125</v>
      </c>
      <c r="B29">
        <v>39892.345600000001</v>
      </c>
      <c r="C29">
        <v>44.850499999999997</v>
      </c>
      <c r="D29">
        <v>47.074100000000001</v>
      </c>
      <c r="E29">
        <v>48.025599999999997</v>
      </c>
      <c r="F29">
        <v>32177.697</v>
      </c>
      <c r="G29">
        <v>13.967000000000001</v>
      </c>
    </row>
    <row r="30" spans="1:7" x14ac:dyDescent="0.25">
      <c r="A30" s="1" t="s">
        <v>126</v>
      </c>
      <c r="B30">
        <v>26305.561600000001</v>
      </c>
      <c r="C30">
        <v>42.703600000000002</v>
      </c>
      <c r="D30">
        <v>45.310600000000001</v>
      </c>
      <c r="E30">
        <v>46.141500000000001</v>
      </c>
      <c r="F30">
        <v>25688.535</v>
      </c>
      <c r="G30">
        <v>13.414999999999999</v>
      </c>
    </row>
    <row r="31" spans="1:7" x14ac:dyDescent="0.25">
      <c r="A31" s="1" t="s">
        <v>127</v>
      </c>
      <c r="B31">
        <v>15578.540800000001</v>
      </c>
      <c r="C31">
        <v>40.032200000000003</v>
      </c>
      <c r="D31">
        <v>43.6783</v>
      </c>
      <c r="E31">
        <v>44.345399999999998</v>
      </c>
      <c r="F31">
        <v>18688.988000000001</v>
      </c>
      <c r="G31">
        <v>12.866</v>
      </c>
    </row>
    <row r="32" spans="1:7" x14ac:dyDescent="0.25">
      <c r="A32" s="1" t="s">
        <v>128</v>
      </c>
      <c r="B32">
        <v>8130.8224</v>
      </c>
      <c r="C32">
        <v>36.9739</v>
      </c>
      <c r="D32">
        <v>41.809199999999997</v>
      </c>
      <c r="E32">
        <v>42.185400000000001</v>
      </c>
      <c r="F32">
        <v>11749.002</v>
      </c>
      <c r="G32">
        <v>12.324</v>
      </c>
    </row>
    <row r="33" spans="1:7" x14ac:dyDescent="0.25">
      <c r="A33" s="1" t="s">
        <v>129</v>
      </c>
      <c r="B33">
        <v>54280.294399999999</v>
      </c>
      <c r="C33">
        <v>41.680999999999997</v>
      </c>
      <c r="D33">
        <v>45.693899999999999</v>
      </c>
      <c r="E33">
        <v>46.043999999999997</v>
      </c>
      <c r="F33">
        <v>29327.59</v>
      </c>
      <c r="G33">
        <v>10.07</v>
      </c>
    </row>
    <row r="34" spans="1:7" x14ac:dyDescent="0.25">
      <c r="A34" s="1" t="s">
        <v>130</v>
      </c>
      <c r="B34">
        <v>37121.849600000001</v>
      </c>
      <c r="C34">
        <v>38.7532</v>
      </c>
      <c r="D34">
        <v>43.723999999999997</v>
      </c>
      <c r="E34">
        <v>44.150300000000001</v>
      </c>
      <c r="F34">
        <v>25388.98</v>
      </c>
      <c r="G34">
        <v>8.6959999999999997</v>
      </c>
    </row>
    <row r="35" spans="1:7" x14ac:dyDescent="0.25">
      <c r="A35" s="1" t="s">
        <v>131</v>
      </c>
      <c r="B35">
        <v>22049.049599999998</v>
      </c>
      <c r="C35">
        <v>35.379100000000001</v>
      </c>
      <c r="D35">
        <v>42.0839</v>
      </c>
      <c r="E35">
        <v>42.618600000000001</v>
      </c>
      <c r="F35">
        <v>21515.116999999998</v>
      </c>
      <c r="G35">
        <v>7.4619999999999997</v>
      </c>
    </row>
    <row r="36" spans="1:7" x14ac:dyDescent="0.25">
      <c r="A36" s="1" t="s">
        <v>132</v>
      </c>
      <c r="B36">
        <v>10855.686400000001</v>
      </c>
      <c r="C36">
        <v>31.761700000000001</v>
      </c>
      <c r="D36">
        <v>40.528199999999998</v>
      </c>
      <c r="E36">
        <v>41.192700000000002</v>
      </c>
      <c r="F36">
        <v>15299.450999999999</v>
      </c>
      <c r="G36">
        <v>5.891</v>
      </c>
    </row>
    <row r="37" spans="1:7" x14ac:dyDescent="0.25">
      <c r="A37" s="1" t="s">
        <v>133</v>
      </c>
      <c r="B37">
        <v>20398.284800000001</v>
      </c>
      <c r="C37">
        <v>42.655299999999997</v>
      </c>
      <c r="D37">
        <v>45.4251</v>
      </c>
      <c r="E37">
        <v>46.889299999999999</v>
      </c>
      <c r="F37">
        <v>25279.123</v>
      </c>
      <c r="G37">
        <v>9.7970000000000006</v>
      </c>
    </row>
    <row r="38" spans="1:7" x14ac:dyDescent="0.25">
      <c r="A38" s="1" t="s">
        <v>134</v>
      </c>
      <c r="B38">
        <v>11618.380800000001</v>
      </c>
      <c r="C38">
        <v>40.642600000000002</v>
      </c>
      <c r="D38">
        <v>44.447099999999999</v>
      </c>
      <c r="E38">
        <v>45.216099999999997</v>
      </c>
      <c r="F38">
        <v>18588.550999999999</v>
      </c>
      <c r="G38">
        <v>11.343</v>
      </c>
    </row>
    <row r="39" spans="1:7" x14ac:dyDescent="0.25">
      <c r="A39" s="1" t="s">
        <v>135</v>
      </c>
      <c r="B39">
        <v>6435.7056000000002</v>
      </c>
      <c r="C39">
        <v>38.637</v>
      </c>
      <c r="D39">
        <v>43.461500000000001</v>
      </c>
      <c r="E39">
        <v>43.478700000000003</v>
      </c>
      <c r="F39">
        <v>13009.021000000001</v>
      </c>
      <c r="G39">
        <v>7.6929999999999996</v>
      </c>
    </row>
    <row r="40" spans="1:7" x14ac:dyDescent="0.25">
      <c r="A40" s="1" t="s">
        <v>136</v>
      </c>
      <c r="B40">
        <v>3276.1408000000001</v>
      </c>
      <c r="C40">
        <v>36.259599999999999</v>
      </c>
      <c r="D40">
        <v>42.074300000000001</v>
      </c>
      <c r="E40">
        <v>41.357599999999998</v>
      </c>
      <c r="F40">
        <v>7982.0060000000003</v>
      </c>
      <c r="G40">
        <v>7.5339999999999998</v>
      </c>
    </row>
    <row r="41" spans="1:7" x14ac:dyDescent="0.25">
      <c r="A41" s="1" t="s">
        <v>137</v>
      </c>
      <c r="B41">
        <v>15348.064</v>
      </c>
      <c r="C41">
        <v>44.176900000000003</v>
      </c>
      <c r="D41">
        <v>46.915999999999997</v>
      </c>
      <c r="E41">
        <v>47.783299999999997</v>
      </c>
      <c r="F41">
        <v>13802.206</v>
      </c>
      <c r="G41">
        <v>5.9429999999999996</v>
      </c>
    </row>
    <row r="42" spans="1:7" x14ac:dyDescent="0.25">
      <c r="A42" s="1" t="s">
        <v>138</v>
      </c>
      <c r="B42">
        <v>10401.407999999999</v>
      </c>
      <c r="C42">
        <v>42.444699999999997</v>
      </c>
      <c r="D42">
        <v>45.673900000000003</v>
      </c>
      <c r="E42">
        <v>46.344099999999997</v>
      </c>
      <c r="F42">
        <v>10781.49</v>
      </c>
      <c r="G42">
        <v>5.8360000000000003</v>
      </c>
    </row>
    <row r="43" spans="1:7" x14ac:dyDescent="0.25">
      <c r="A43" s="1" t="s">
        <v>139</v>
      </c>
      <c r="B43">
        <v>6556.3648000000003</v>
      </c>
      <c r="C43">
        <v>40.0899</v>
      </c>
      <c r="D43">
        <v>44.293399999999998</v>
      </c>
      <c r="E43">
        <v>44.815199999999997</v>
      </c>
      <c r="F43">
        <v>8070.3890000000001</v>
      </c>
      <c r="G43">
        <v>5.1959999999999997</v>
      </c>
    </row>
    <row r="44" spans="1:7" x14ac:dyDescent="0.25">
      <c r="A44" s="1" t="s">
        <v>140</v>
      </c>
      <c r="B44">
        <v>3793.7280000000001</v>
      </c>
      <c r="C44">
        <v>37.106499999999997</v>
      </c>
      <c r="D44">
        <v>42.496600000000001</v>
      </c>
      <c r="E44">
        <v>42.959200000000003</v>
      </c>
      <c r="F44">
        <v>5460.78</v>
      </c>
      <c r="G44">
        <v>5.1130000000000004</v>
      </c>
    </row>
    <row r="45" spans="1:7" x14ac:dyDescent="0.25">
      <c r="A45" s="1" t="s">
        <v>141</v>
      </c>
      <c r="B45">
        <v>16567.820800000001</v>
      </c>
      <c r="C45">
        <v>44.1218</v>
      </c>
      <c r="D45">
        <v>48.382199999999997</v>
      </c>
      <c r="E45">
        <v>48.134300000000003</v>
      </c>
      <c r="F45">
        <v>11929.154</v>
      </c>
      <c r="G45">
        <v>5.585</v>
      </c>
    </row>
    <row r="46" spans="1:7" x14ac:dyDescent="0.25">
      <c r="A46" s="1" t="s">
        <v>142</v>
      </c>
      <c r="B46">
        <v>11498.208000000001</v>
      </c>
      <c r="C46">
        <v>42.3645</v>
      </c>
      <c r="D46">
        <v>47.239800000000002</v>
      </c>
      <c r="E46">
        <v>46.496299999999998</v>
      </c>
      <c r="F46">
        <v>9547.0689999999995</v>
      </c>
      <c r="G46">
        <v>5.5119999999999996</v>
      </c>
    </row>
    <row r="47" spans="1:7" x14ac:dyDescent="0.25">
      <c r="A47" s="1" t="s">
        <v>143</v>
      </c>
      <c r="B47">
        <v>7461.1455999999998</v>
      </c>
      <c r="C47">
        <v>39.9604</v>
      </c>
      <c r="D47">
        <v>46.0244</v>
      </c>
      <c r="E47">
        <v>44.671599999999998</v>
      </c>
      <c r="F47">
        <v>7702.8050000000003</v>
      </c>
      <c r="G47">
        <v>4.899</v>
      </c>
    </row>
    <row r="48" spans="1:7" x14ac:dyDescent="0.25">
      <c r="A48" s="1" t="s">
        <v>144</v>
      </c>
      <c r="B48">
        <v>4334.7583999999997</v>
      </c>
      <c r="C48">
        <v>36.743000000000002</v>
      </c>
      <c r="D48">
        <v>44.2682</v>
      </c>
      <c r="E48">
        <v>42.3371</v>
      </c>
      <c r="F48">
        <v>5770.2479999999996</v>
      </c>
      <c r="G48">
        <v>4.6349999999999998</v>
      </c>
    </row>
    <row r="49" spans="1:1" x14ac:dyDescent="0.25">
      <c r="A49" s="1" t="s">
        <v>145</v>
      </c>
    </row>
    <row r="50" spans="1:1" x14ac:dyDescent="0.25">
      <c r="A50" s="1" t="s">
        <v>146</v>
      </c>
    </row>
    <row r="51" spans="1:1" x14ac:dyDescent="0.25">
      <c r="A51" s="1" t="s">
        <v>147</v>
      </c>
    </row>
    <row r="52" spans="1:1" x14ac:dyDescent="0.25">
      <c r="A52" s="1" t="s">
        <v>148</v>
      </c>
    </row>
    <row r="53" spans="1:1" x14ac:dyDescent="0.25">
      <c r="A53" s="1" t="s">
        <v>149</v>
      </c>
    </row>
    <row r="54" spans="1:1" x14ac:dyDescent="0.25">
      <c r="A54" s="1" t="s">
        <v>150</v>
      </c>
    </row>
    <row r="55" spans="1:1" x14ac:dyDescent="0.25">
      <c r="A55" s="1" t="s">
        <v>151</v>
      </c>
    </row>
    <row r="56" spans="1:1" x14ac:dyDescent="0.25">
      <c r="A56" s="1" t="s">
        <v>152</v>
      </c>
    </row>
    <row r="57" spans="1:1" x14ac:dyDescent="0.25">
      <c r="A57" s="1" t="s">
        <v>153</v>
      </c>
    </row>
    <row r="58" spans="1:1" x14ac:dyDescent="0.25">
      <c r="A58" s="1" t="s">
        <v>154</v>
      </c>
    </row>
    <row r="59" spans="1:1" x14ac:dyDescent="0.25">
      <c r="A59" s="1" t="s">
        <v>155</v>
      </c>
    </row>
    <row r="60" spans="1:1" x14ac:dyDescent="0.25">
      <c r="A60" s="1" t="s">
        <v>156</v>
      </c>
    </row>
    <row r="61" spans="1:1" x14ac:dyDescent="0.25">
      <c r="A61" s="1" t="s">
        <v>157</v>
      </c>
    </row>
    <row r="62" spans="1:1" x14ac:dyDescent="0.25">
      <c r="A62" s="1" t="s">
        <v>158</v>
      </c>
    </row>
    <row r="63" spans="1:1" x14ac:dyDescent="0.25">
      <c r="A63" s="1" t="s">
        <v>159</v>
      </c>
    </row>
    <row r="64" spans="1:1" x14ac:dyDescent="0.25">
      <c r="A64" s="1" t="s">
        <v>160</v>
      </c>
    </row>
    <row r="65" spans="1:7" x14ac:dyDescent="0.25">
      <c r="A65" s="1" t="s">
        <v>161</v>
      </c>
    </row>
    <row r="66" spans="1:7" x14ac:dyDescent="0.25">
      <c r="A66" s="1" t="s">
        <v>162</v>
      </c>
    </row>
    <row r="67" spans="1:7" x14ac:dyDescent="0.25">
      <c r="A67" s="1" t="s">
        <v>163</v>
      </c>
    </row>
    <row r="68" spans="1:7" x14ac:dyDescent="0.25">
      <c r="A68" s="1" t="s">
        <v>164</v>
      </c>
    </row>
    <row r="69" spans="1:7" x14ac:dyDescent="0.25">
      <c r="A69" s="1" t="s">
        <v>165</v>
      </c>
    </row>
    <row r="70" spans="1:7" x14ac:dyDescent="0.25">
      <c r="A70" s="1" t="s">
        <v>166</v>
      </c>
    </row>
    <row r="71" spans="1:7" x14ac:dyDescent="0.25">
      <c r="A71" s="1" t="s">
        <v>167</v>
      </c>
    </row>
    <row r="72" spans="1:7" x14ac:dyDescent="0.25">
      <c r="A72" s="1" t="s">
        <v>168</v>
      </c>
    </row>
    <row r="73" spans="1:7" x14ac:dyDescent="0.25">
      <c r="A73" s="1" t="s">
        <v>169</v>
      </c>
      <c r="B73">
        <v>14776.291999999999</v>
      </c>
      <c r="C73">
        <v>40.0762</v>
      </c>
      <c r="D73">
        <v>48.928400000000003</v>
      </c>
      <c r="E73">
        <v>46.9236</v>
      </c>
      <c r="F73">
        <v>242486.18799999999</v>
      </c>
      <c r="G73">
        <v>62.804000000000002</v>
      </c>
    </row>
    <row r="74" spans="1:7" x14ac:dyDescent="0.25">
      <c r="A74" s="1" t="s">
        <v>170</v>
      </c>
      <c r="B74">
        <v>6654.3280000000004</v>
      </c>
      <c r="C74">
        <v>39.5745</v>
      </c>
      <c r="D74">
        <v>48.320799999999998</v>
      </c>
      <c r="E74">
        <v>46.055</v>
      </c>
      <c r="F74">
        <v>137992.516</v>
      </c>
      <c r="G74">
        <v>60.268000000000001</v>
      </c>
    </row>
    <row r="75" spans="1:7" x14ac:dyDescent="0.25">
      <c r="A75" s="1" t="s">
        <v>171</v>
      </c>
      <c r="B75">
        <v>3707.6680000000001</v>
      </c>
      <c r="C75">
        <v>38.7149</v>
      </c>
      <c r="D75">
        <v>47.332099999999997</v>
      </c>
      <c r="E75">
        <v>44.725700000000003</v>
      </c>
      <c r="F75">
        <v>73149.335999999996</v>
      </c>
      <c r="G75">
        <v>58.652999999999999</v>
      </c>
    </row>
    <row r="76" spans="1:7" x14ac:dyDescent="0.25">
      <c r="A76" s="1" t="s">
        <v>172</v>
      </c>
      <c r="B76">
        <v>1956.768</v>
      </c>
      <c r="C76">
        <v>37.193800000000003</v>
      </c>
      <c r="D76">
        <v>45.044400000000003</v>
      </c>
      <c r="E76">
        <v>43.079900000000002</v>
      </c>
      <c r="F76">
        <v>38040.836000000003</v>
      </c>
      <c r="G76">
        <v>54.853999999999999</v>
      </c>
    </row>
    <row r="77" spans="1:7" x14ac:dyDescent="0.25">
      <c r="A77" s="1" t="s">
        <v>173</v>
      </c>
      <c r="B77">
        <v>161153.64799999999</v>
      </c>
      <c r="C77">
        <v>38.875</v>
      </c>
      <c r="D77">
        <v>37.742699999999999</v>
      </c>
      <c r="E77">
        <v>36.594499999999996</v>
      </c>
      <c r="F77">
        <v>551143.75</v>
      </c>
      <c r="G77">
        <v>71.150000000000006</v>
      </c>
    </row>
    <row r="78" spans="1:7" x14ac:dyDescent="0.25">
      <c r="A78" s="1" t="s">
        <v>174</v>
      </c>
      <c r="B78">
        <v>82355.323999999993</v>
      </c>
      <c r="C78">
        <v>36.3551</v>
      </c>
      <c r="D78">
        <v>35.076099999999997</v>
      </c>
      <c r="E78">
        <v>34.065300000000001</v>
      </c>
      <c r="F78">
        <v>410595.84399999998</v>
      </c>
      <c r="G78">
        <v>63.34</v>
      </c>
    </row>
    <row r="79" spans="1:7" x14ac:dyDescent="0.25">
      <c r="A79" s="1" t="s">
        <v>175</v>
      </c>
      <c r="B79">
        <v>38021.879999999997</v>
      </c>
      <c r="C79">
        <v>33.748800000000003</v>
      </c>
      <c r="D79">
        <v>33.056199999999997</v>
      </c>
      <c r="E79">
        <v>32.277799999999999</v>
      </c>
      <c r="F79">
        <v>265108.18800000002</v>
      </c>
      <c r="G79">
        <v>58.320999999999998</v>
      </c>
    </row>
    <row r="80" spans="1:7" x14ac:dyDescent="0.25">
      <c r="A80" s="1" t="s">
        <v>176</v>
      </c>
      <c r="B80">
        <v>16150.68</v>
      </c>
      <c r="C80">
        <v>31.172000000000001</v>
      </c>
      <c r="D80">
        <v>31.455300000000001</v>
      </c>
      <c r="E80">
        <v>30.967300000000002</v>
      </c>
      <c r="F80">
        <v>148825.109</v>
      </c>
      <c r="G80">
        <v>32.317999999999998</v>
      </c>
    </row>
    <row r="81" spans="1:7" x14ac:dyDescent="0.25">
      <c r="A81" s="1" t="s">
        <v>177</v>
      </c>
      <c r="B81">
        <v>71584.356</v>
      </c>
      <c r="C81">
        <v>38.753799999999998</v>
      </c>
      <c r="D81">
        <v>37.430500000000002</v>
      </c>
      <c r="E81">
        <v>37.3279</v>
      </c>
      <c r="F81">
        <v>293787.06300000002</v>
      </c>
      <c r="G81">
        <v>37.432000000000002</v>
      </c>
    </row>
    <row r="82" spans="1:7" x14ac:dyDescent="0.25">
      <c r="A82" s="1" t="s">
        <v>178</v>
      </c>
      <c r="B82">
        <v>37339.224000000002</v>
      </c>
      <c r="C82">
        <v>36.966900000000003</v>
      </c>
      <c r="D82">
        <v>35.548299999999998</v>
      </c>
      <c r="E82">
        <v>35.5259</v>
      </c>
      <c r="F82">
        <v>204654.84400000001</v>
      </c>
      <c r="G82">
        <v>33.465000000000003</v>
      </c>
    </row>
    <row r="83" spans="1:7" x14ac:dyDescent="0.25">
      <c r="A83" s="1" t="s">
        <v>179</v>
      </c>
      <c r="B83">
        <v>18546.84</v>
      </c>
      <c r="C83">
        <v>34.801200000000001</v>
      </c>
      <c r="D83">
        <v>33.965200000000003</v>
      </c>
      <c r="E83">
        <v>34.001199999999997</v>
      </c>
      <c r="F83">
        <v>131505.45300000001</v>
      </c>
      <c r="G83">
        <v>30.748999999999999</v>
      </c>
    </row>
    <row r="84" spans="1:7" x14ac:dyDescent="0.25">
      <c r="A84" s="1" t="s">
        <v>180</v>
      </c>
      <c r="B84">
        <v>9078.232</v>
      </c>
      <c r="C84">
        <v>32.445099999999996</v>
      </c>
      <c r="D84">
        <v>32.599800000000002</v>
      </c>
      <c r="E84">
        <v>32.571899999999999</v>
      </c>
      <c r="F84">
        <v>77884.767999999996</v>
      </c>
      <c r="G84">
        <v>28.782</v>
      </c>
    </row>
    <row r="85" spans="1:7" x14ac:dyDescent="0.25">
      <c r="A85" s="1" t="s">
        <v>181</v>
      </c>
      <c r="B85">
        <v>25547.907999999999</v>
      </c>
      <c r="C85">
        <v>37.607300000000002</v>
      </c>
      <c r="D85">
        <v>45.142600000000002</v>
      </c>
      <c r="E85">
        <v>42.770699999999998</v>
      </c>
      <c r="F85">
        <v>341660.09399999998</v>
      </c>
      <c r="G85">
        <v>63.301000000000002</v>
      </c>
    </row>
    <row r="86" spans="1:7" x14ac:dyDescent="0.25">
      <c r="A86" s="1" t="s">
        <v>182</v>
      </c>
      <c r="B86">
        <v>9251.74</v>
      </c>
      <c r="C86">
        <v>37.043100000000003</v>
      </c>
      <c r="D86">
        <v>44.527900000000002</v>
      </c>
      <c r="E86">
        <v>42.091500000000003</v>
      </c>
      <c r="F86">
        <v>201980.359</v>
      </c>
      <c r="G86">
        <v>63.527000000000001</v>
      </c>
    </row>
    <row r="87" spans="1:7" x14ac:dyDescent="0.25">
      <c r="A87" s="1" t="s">
        <v>183</v>
      </c>
      <c r="B87">
        <v>4561.8280000000004</v>
      </c>
      <c r="C87">
        <v>36.1813</v>
      </c>
      <c r="D87">
        <v>43.593499999999999</v>
      </c>
      <c r="E87">
        <v>41.091799999999999</v>
      </c>
      <c r="F87">
        <v>111927.781</v>
      </c>
      <c r="G87">
        <v>55.962000000000003</v>
      </c>
    </row>
    <row r="88" spans="1:7" x14ac:dyDescent="0.25">
      <c r="A88" s="1" t="s">
        <v>184</v>
      </c>
      <c r="B88">
        <v>2201.0030000000002</v>
      </c>
      <c r="C88">
        <v>34.712499999999999</v>
      </c>
      <c r="D88">
        <v>42.307000000000002</v>
      </c>
      <c r="E88">
        <v>39.839199999999998</v>
      </c>
      <c r="F88">
        <v>55236.574000000001</v>
      </c>
      <c r="G88">
        <v>55.201000000000001</v>
      </c>
    </row>
    <row r="89" spans="1:7" x14ac:dyDescent="0.25">
      <c r="A89" s="1" t="s">
        <v>185</v>
      </c>
      <c r="B89">
        <v>10040.92</v>
      </c>
      <c r="C89">
        <v>37.978499999999997</v>
      </c>
      <c r="D89">
        <v>39.721800000000002</v>
      </c>
      <c r="E89">
        <v>43.080500000000001</v>
      </c>
      <c r="F89">
        <v>74877.75</v>
      </c>
      <c r="G89">
        <v>12.618</v>
      </c>
    </row>
    <row r="90" spans="1:7" x14ac:dyDescent="0.25">
      <c r="A90" s="1" t="s">
        <v>186</v>
      </c>
      <c r="B90">
        <v>4724.2839999999997</v>
      </c>
      <c r="C90">
        <v>36.880499999999998</v>
      </c>
      <c r="D90">
        <v>39.185899999999997</v>
      </c>
      <c r="E90">
        <v>41.955500000000001</v>
      </c>
      <c r="F90">
        <v>49333.726999999999</v>
      </c>
      <c r="G90">
        <v>11.507999999999999</v>
      </c>
    </row>
    <row r="91" spans="1:7" x14ac:dyDescent="0.25">
      <c r="A91" s="1" t="s">
        <v>187</v>
      </c>
      <c r="B91">
        <v>2400.136</v>
      </c>
      <c r="C91">
        <v>35.293399999999998</v>
      </c>
      <c r="D91">
        <v>38.468800000000002</v>
      </c>
      <c r="E91">
        <v>40.590800000000002</v>
      </c>
      <c r="F91">
        <v>30857.715</v>
      </c>
      <c r="G91">
        <v>10.956</v>
      </c>
    </row>
    <row r="92" spans="1:7" x14ac:dyDescent="0.25">
      <c r="A92" s="1" t="s">
        <v>188</v>
      </c>
      <c r="B92">
        <v>1120.556</v>
      </c>
      <c r="C92">
        <v>33.0471</v>
      </c>
      <c r="D92">
        <v>37.390300000000003</v>
      </c>
      <c r="E92">
        <v>38.886600000000001</v>
      </c>
      <c r="F92">
        <v>17696.98</v>
      </c>
      <c r="G92">
        <v>10.403</v>
      </c>
    </row>
    <row r="93" spans="1:7" x14ac:dyDescent="0.25">
      <c r="A93" s="1" t="s">
        <v>189</v>
      </c>
      <c r="B93">
        <v>8835.2559999999994</v>
      </c>
      <c r="C93">
        <v>38.898499999999999</v>
      </c>
      <c r="D93">
        <v>43.930700000000002</v>
      </c>
      <c r="E93">
        <v>45.033299999999997</v>
      </c>
      <c r="F93">
        <v>71430.960999999996</v>
      </c>
      <c r="G93">
        <v>14.455</v>
      </c>
    </row>
    <row r="94" spans="1:7" x14ac:dyDescent="0.25">
      <c r="A94" s="1" t="s">
        <v>190</v>
      </c>
      <c r="B94">
        <v>4396.0159999999996</v>
      </c>
      <c r="C94">
        <v>37.851399999999998</v>
      </c>
      <c r="D94">
        <v>43.092300000000002</v>
      </c>
      <c r="E94">
        <v>43.619</v>
      </c>
      <c r="F94">
        <v>47558.362999999998</v>
      </c>
      <c r="G94">
        <v>13.608000000000001</v>
      </c>
    </row>
    <row r="95" spans="1:7" x14ac:dyDescent="0.25">
      <c r="A95" s="1" t="s">
        <v>191</v>
      </c>
      <c r="B95">
        <v>2239.7240000000002</v>
      </c>
      <c r="C95">
        <v>36.356099999999998</v>
      </c>
      <c r="D95">
        <v>41.984900000000003</v>
      </c>
      <c r="E95">
        <v>41.976199999999999</v>
      </c>
      <c r="F95">
        <v>29017.155999999999</v>
      </c>
      <c r="G95">
        <v>12.827999999999999</v>
      </c>
    </row>
    <row r="96" spans="1:7" x14ac:dyDescent="0.25">
      <c r="A96" s="1" t="s">
        <v>192</v>
      </c>
      <c r="B96">
        <v>1102.8240000000001</v>
      </c>
      <c r="C96">
        <v>34.287700000000001</v>
      </c>
      <c r="D96">
        <v>40.645699999999998</v>
      </c>
      <c r="E96">
        <v>40.1036</v>
      </c>
      <c r="F96">
        <v>17482.923999999999</v>
      </c>
      <c r="G96">
        <v>11.531000000000001</v>
      </c>
    </row>
    <row r="97" spans="1:7" x14ac:dyDescent="0.25">
      <c r="A97" s="1" t="s">
        <v>193</v>
      </c>
      <c r="B97">
        <v>6898.1639999999998</v>
      </c>
      <c r="C97">
        <v>39.654400000000003</v>
      </c>
      <c r="D97">
        <v>43.6706</v>
      </c>
      <c r="E97">
        <v>44.8583</v>
      </c>
      <c r="F97">
        <v>73764.570000000007</v>
      </c>
      <c r="G97">
        <v>15.736000000000001</v>
      </c>
    </row>
    <row r="98" spans="1:7" x14ac:dyDescent="0.25">
      <c r="A98" s="1" t="s">
        <v>194</v>
      </c>
      <c r="B98">
        <v>3244.1880000000001</v>
      </c>
      <c r="C98">
        <v>38.456800000000001</v>
      </c>
      <c r="D98">
        <v>42.905900000000003</v>
      </c>
      <c r="E98">
        <v>44.192399999999999</v>
      </c>
      <c r="F98">
        <v>49215.690999999999</v>
      </c>
      <c r="G98">
        <v>14.843999999999999</v>
      </c>
    </row>
    <row r="99" spans="1:7" x14ac:dyDescent="0.25">
      <c r="A99" s="1" t="s">
        <v>195</v>
      </c>
      <c r="B99">
        <v>1544.796</v>
      </c>
      <c r="C99">
        <v>36.757100000000001</v>
      </c>
      <c r="D99">
        <v>41.886800000000001</v>
      </c>
      <c r="E99">
        <v>43.193800000000003</v>
      </c>
      <c r="F99">
        <v>29132.004000000001</v>
      </c>
      <c r="G99">
        <v>15.119</v>
      </c>
    </row>
    <row r="100" spans="1:7" x14ac:dyDescent="0.25">
      <c r="A100" s="1" t="s">
        <v>196</v>
      </c>
      <c r="B100">
        <v>694.68799999999999</v>
      </c>
      <c r="C100">
        <v>34.526600000000002</v>
      </c>
      <c r="D100">
        <v>40.635199999999998</v>
      </c>
      <c r="E100">
        <v>41.886099999999999</v>
      </c>
      <c r="F100">
        <v>15290.57</v>
      </c>
      <c r="G100">
        <v>12.659000000000001</v>
      </c>
    </row>
    <row r="101" spans="1:7" x14ac:dyDescent="0.25">
      <c r="A101" s="1" t="s">
        <v>197</v>
      </c>
      <c r="B101">
        <v>5764.076</v>
      </c>
      <c r="C101">
        <v>44.824800000000003</v>
      </c>
      <c r="D101">
        <v>47.208199999999998</v>
      </c>
      <c r="E101">
        <v>48.170999999999999</v>
      </c>
      <c r="F101">
        <v>53106.987999999998</v>
      </c>
      <c r="G101">
        <v>16.414999999999999</v>
      </c>
    </row>
    <row r="102" spans="1:7" x14ac:dyDescent="0.25">
      <c r="A102" s="1" t="s">
        <v>198</v>
      </c>
      <c r="B102">
        <v>3535.0920000000001</v>
      </c>
      <c r="C102">
        <v>42.591799999999999</v>
      </c>
      <c r="D102">
        <v>45.660699999999999</v>
      </c>
      <c r="E102">
        <v>46.448700000000002</v>
      </c>
      <c r="F102">
        <v>38127.555</v>
      </c>
      <c r="G102">
        <v>15.819000000000001</v>
      </c>
    </row>
    <row r="103" spans="1:7" x14ac:dyDescent="0.25">
      <c r="A103" s="1" t="s">
        <v>199</v>
      </c>
      <c r="B103">
        <v>1963.856</v>
      </c>
      <c r="C103">
        <v>39.781700000000001</v>
      </c>
      <c r="D103">
        <v>43.994999999999997</v>
      </c>
      <c r="E103">
        <v>44.548000000000002</v>
      </c>
      <c r="F103">
        <v>25245.993999999999</v>
      </c>
      <c r="G103">
        <v>13.978</v>
      </c>
    </row>
    <row r="104" spans="1:7" x14ac:dyDescent="0.25">
      <c r="A104" s="1" t="s">
        <v>200</v>
      </c>
      <c r="B104">
        <v>996.67600000000004</v>
      </c>
      <c r="C104">
        <v>36.597999999999999</v>
      </c>
      <c r="D104">
        <v>42.385199999999998</v>
      </c>
      <c r="E104">
        <v>42.6875</v>
      </c>
      <c r="F104">
        <v>15248.946</v>
      </c>
      <c r="G104">
        <v>12.127000000000001</v>
      </c>
    </row>
    <row r="105" spans="1:7" x14ac:dyDescent="0.25">
      <c r="A105" s="1" t="s">
        <v>201</v>
      </c>
      <c r="B105">
        <v>4214.1840000000002</v>
      </c>
      <c r="C105">
        <v>38.523499999999999</v>
      </c>
      <c r="D105">
        <v>45.800899999999999</v>
      </c>
      <c r="E105">
        <v>46.008400000000002</v>
      </c>
      <c r="F105">
        <v>37470.495999999999</v>
      </c>
      <c r="G105">
        <v>6.7629999999999999</v>
      </c>
    </row>
    <row r="106" spans="1:7" x14ac:dyDescent="0.25">
      <c r="A106" s="1" t="s">
        <v>202</v>
      </c>
      <c r="B106">
        <v>1786.096</v>
      </c>
      <c r="C106">
        <v>36.929400000000001</v>
      </c>
      <c r="D106">
        <v>44.636499999999998</v>
      </c>
      <c r="E106">
        <v>44.814900000000002</v>
      </c>
      <c r="F106">
        <v>24136.803</v>
      </c>
      <c r="G106">
        <v>6.093</v>
      </c>
    </row>
    <row r="107" spans="1:7" x14ac:dyDescent="0.25">
      <c r="A107" s="1" t="s">
        <v>203</v>
      </c>
      <c r="B107">
        <v>819.33199999999999</v>
      </c>
      <c r="C107">
        <v>34.942399999999999</v>
      </c>
      <c r="D107">
        <v>43.115900000000003</v>
      </c>
      <c r="E107">
        <v>43.402999999999999</v>
      </c>
      <c r="F107">
        <v>14573.073</v>
      </c>
      <c r="G107">
        <v>5.3250000000000002</v>
      </c>
    </row>
    <row r="108" spans="1:7" x14ac:dyDescent="0.25">
      <c r="A108" s="1" t="s">
        <v>204</v>
      </c>
      <c r="B108">
        <v>392.1</v>
      </c>
      <c r="C108">
        <v>32.333199999999998</v>
      </c>
      <c r="D108">
        <v>41.230800000000002</v>
      </c>
      <c r="E108">
        <v>41.762700000000002</v>
      </c>
      <c r="F108">
        <v>7917.7150000000001</v>
      </c>
      <c r="G108">
        <v>4.7240000000000002</v>
      </c>
    </row>
    <row r="109" spans="1:7" x14ac:dyDescent="0.25">
      <c r="A109" s="1" t="s">
        <v>205</v>
      </c>
      <c r="B109">
        <v>2481.5320000000002</v>
      </c>
      <c r="C109">
        <v>40.591500000000003</v>
      </c>
      <c r="D109">
        <v>46.071300000000001</v>
      </c>
      <c r="E109">
        <v>47.180999999999997</v>
      </c>
      <c r="F109">
        <v>39425.288999999997</v>
      </c>
      <c r="G109">
        <v>10.221</v>
      </c>
    </row>
    <row r="110" spans="1:7" x14ac:dyDescent="0.25">
      <c r="A110" s="1" t="s">
        <v>206</v>
      </c>
      <c r="B110">
        <v>1140.624</v>
      </c>
      <c r="C110">
        <v>39.485100000000003</v>
      </c>
      <c r="D110">
        <v>45.519399999999997</v>
      </c>
      <c r="E110">
        <v>45.934899999999999</v>
      </c>
      <c r="F110">
        <v>22087.815999999999</v>
      </c>
      <c r="G110">
        <v>7.3890000000000002</v>
      </c>
    </row>
    <row r="111" spans="1:7" x14ac:dyDescent="0.25">
      <c r="A111" s="1" t="s">
        <v>207</v>
      </c>
      <c r="B111">
        <v>534.68399999999997</v>
      </c>
      <c r="C111">
        <v>37.912100000000002</v>
      </c>
      <c r="D111">
        <v>44.651699999999998</v>
      </c>
      <c r="E111">
        <v>44.335799999999999</v>
      </c>
      <c r="F111">
        <v>11432.974</v>
      </c>
      <c r="G111">
        <v>6.258</v>
      </c>
    </row>
    <row r="112" spans="1:7" x14ac:dyDescent="0.25">
      <c r="A112" s="1" t="s">
        <v>208</v>
      </c>
      <c r="B112">
        <v>241.68</v>
      </c>
      <c r="C112">
        <v>35.812199999999997</v>
      </c>
      <c r="D112">
        <v>43.523200000000003</v>
      </c>
      <c r="E112">
        <v>42.449300000000001</v>
      </c>
      <c r="F112">
        <v>6068.7529999999997</v>
      </c>
      <c r="G112">
        <v>5.7709999999999999</v>
      </c>
    </row>
    <row r="113" spans="1:7" x14ac:dyDescent="0.25">
      <c r="A113" s="1" t="s">
        <v>209</v>
      </c>
      <c r="B113">
        <v>946.62</v>
      </c>
      <c r="C113">
        <v>43.479300000000002</v>
      </c>
      <c r="D113">
        <v>47.0931</v>
      </c>
      <c r="E113">
        <v>48.133800000000001</v>
      </c>
      <c r="F113">
        <v>13209.654</v>
      </c>
      <c r="G113">
        <v>5.3860000000000001</v>
      </c>
    </row>
    <row r="114" spans="1:7" x14ac:dyDescent="0.25">
      <c r="A114" s="1" t="s">
        <v>210</v>
      </c>
      <c r="B114">
        <v>517.68799999999999</v>
      </c>
      <c r="C114">
        <v>42.195900000000002</v>
      </c>
      <c r="D114">
        <v>46.321599999999997</v>
      </c>
      <c r="E114">
        <v>47.0593</v>
      </c>
      <c r="F114">
        <v>8159.3389999999999</v>
      </c>
      <c r="G114">
        <v>5.1740000000000004</v>
      </c>
    </row>
    <row r="115" spans="1:7" x14ac:dyDescent="0.25">
      <c r="A115" s="1" t="s">
        <v>211</v>
      </c>
      <c r="B115">
        <v>295.44400000000002</v>
      </c>
      <c r="C115">
        <v>40.419499999999999</v>
      </c>
      <c r="D115">
        <v>45.2211</v>
      </c>
      <c r="E115">
        <v>45.735599999999998</v>
      </c>
      <c r="F115">
        <v>4325.482</v>
      </c>
      <c r="G115">
        <v>4.7279999999999998</v>
      </c>
    </row>
    <row r="116" spans="1:7" x14ac:dyDescent="0.25">
      <c r="A116" s="1" t="s">
        <v>212</v>
      </c>
      <c r="B116">
        <v>164.268</v>
      </c>
      <c r="C116">
        <v>37.8675</v>
      </c>
      <c r="D116">
        <v>43.4238</v>
      </c>
      <c r="E116">
        <v>43.844700000000003</v>
      </c>
      <c r="F116">
        <v>2680.6039999999998</v>
      </c>
      <c r="G116">
        <v>4.9279999999999999</v>
      </c>
    </row>
    <row r="117" spans="1:7" x14ac:dyDescent="0.25">
      <c r="A117" s="1" t="s">
        <v>213</v>
      </c>
      <c r="B117">
        <v>1338.152</v>
      </c>
      <c r="C117">
        <v>42.832599999999999</v>
      </c>
      <c r="D117">
        <v>48.692900000000002</v>
      </c>
      <c r="E117">
        <v>48.407800000000002</v>
      </c>
      <c r="F117">
        <v>13883.68</v>
      </c>
      <c r="G117">
        <v>5.2720000000000002</v>
      </c>
    </row>
    <row r="118" spans="1:7" x14ac:dyDescent="0.25">
      <c r="A118" s="1" t="s">
        <v>214</v>
      </c>
      <c r="B118">
        <v>725.34</v>
      </c>
      <c r="C118">
        <v>41.560499999999998</v>
      </c>
      <c r="D118">
        <v>47.8065</v>
      </c>
      <c r="E118">
        <v>47.362499999999997</v>
      </c>
      <c r="F118">
        <v>8797.5550000000003</v>
      </c>
      <c r="G118">
        <v>4.944</v>
      </c>
    </row>
    <row r="119" spans="1:7" x14ac:dyDescent="0.25">
      <c r="A119" s="1" t="s">
        <v>215</v>
      </c>
      <c r="B119">
        <v>409.86399999999998</v>
      </c>
      <c r="C119">
        <v>39.700299999999999</v>
      </c>
      <c r="D119">
        <v>46.743699999999997</v>
      </c>
      <c r="E119">
        <v>45.837699999999998</v>
      </c>
      <c r="F119">
        <v>5342.509</v>
      </c>
      <c r="G119">
        <v>5.1740000000000004</v>
      </c>
    </row>
    <row r="120" spans="1:7" x14ac:dyDescent="0.25">
      <c r="A120" s="1" t="s">
        <v>216</v>
      </c>
      <c r="B120">
        <v>222.136</v>
      </c>
      <c r="C120">
        <v>36.924599999999998</v>
      </c>
      <c r="D120">
        <v>45.1678</v>
      </c>
      <c r="E120">
        <v>43.301000000000002</v>
      </c>
      <c r="F120">
        <v>3403.5390000000002</v>
      </c>
      <c r="G120">
        <v>5.008</v>
      </c>
    </row>
    <row r="121" spans="1:7" x14ac:dyDescent="0.25">
      <c r="A121" s="1" t="s">
        <v>217</v>
      </c>
    </row>
    <row r="122" spans="1:7" x14ac:dyDescent="0.25">
      <c r="A122" s="1" t="s">
        <v>218</v>
      </c>
    </row>
    <row r="123" spans="1:7" x14ac:dyDescent="0.25">
      <c r="A123" s="1" t="s">
        <v>219</v>
      </c>
    </row>
    <row r="124" spans="1:7" x14ac:dyDescent="0.25">
      <c r="A124" s="1" t="s">
        <v>220</v>
      </c>
    </row>
    <row r="125" spans="1:7" x14ac:dyDescent="0.25">
      <c r="A125" s="1" t="s">
        <v>221</v>
      </c>
    </row>
    <row r="126" spans="1:7" x14ac:dyDescent="0.25">
      <c r="A126" s="1" t="s">
        <v>222</v>
      </c>
    </row>
    <row r="127" spans="1:7" x14ac:dyDescent="0.25">
      <c r="A127" s="1" t="s">
        <v>223</v>
      </c>
    </row>
    <row r="128" spans="1:7" x14ac:dyDescent="0.25">
      <c r="A128" s="1" t="s">
        <v>224</v>
      </c>
    </row>
    <row r="129" spans="1:1" x14ac:dyDescent="0.25">
      <c r="A129" s="1" t="s">
        <v>225</v>
      </c>
    </row>
    <row r="130" spans="1:1" x14ac:dyDescent="0.25">
      <c r="A130" s="1" t="s">
        <v>226</v>
      </c>
    </row>
    <row r="131" spans="1:1" x14ac:dyDescent="0.25">
      <c r="A131" s="1" t="s">
        <v>227</v>
      </c>
    </row>
    <row r="132" spans="1:1" x14ac:dyDescent="0.25">
      <c r="A132" s="1" t="s">
        <v>228</v>
      </c>
    </row>
    <row r="133" spans="1:1" x14ac:dyDescent="0.25">
      <c r="A133" s="1" t="s">
        <v>229</v>
      </c>
    </row>
    <row r="134" spans="1:1" x14ac:dyDescent="0.25">
      <c r="A134" s="1" t="s">
        <v>230</v>
      </c>
    </row>
    <row r="135" spans="1:1" x14ac:dyDescent="0.25">
      <c r="A135" s="1" t="s">
        <v>231</v>
      </c>
    </row>
    <row r="136" spans="1:1" x14ac:dyDescent="0.25">
      <c r="A136" s="1" t="s">
        <v>232</v>
      </c>
    </row>
    <row r="137" spans="1:1" x14ac:dyDescent="0.25">
      <c r="A137" s="1" t="s">
        <v>233</v>
      </c>
    </row>
    <row r="138" spans="1:1" x14ac:dyDescent="0.25">
      <c r="A138" s="1" t="s">
        <v>234</v>
      </c>
    </row>
    <row r="139" spans="1:1" x14ac:dyDescent="0.25">
      <c r="A139" s="1" t="s">
        <v>235</v>
      </c>
    </row>
    <row r="140" spans="1:1" x14ac:dyDescent="0.25">
      <c r="A140" s="1" t="s">
        <v>236</v>
      </c>
    </row>
    <row r="141" spans="1:1" x14ac:dyDescent="0.25">
      <c r="A141" s="1" t="s">
        <v>237</v>
      </c>
    </row>
    <row r="142" spans="1:1" x14ac:dyDescent="0.25">
      <c r="A142" s="1" t="s">
        <v>238</v>
      </c>
    </row>
    <row r="143" spans="1:1" x14ac:dyDescent="0.25">
      <c r="A143" s="1" t="s">
        <v>239</v>
      </c>
    </row>
    <row r="144" spans="1:1" x14ac:dyDescent="0.25">
      <c r="A144" s="1" t="s">
        <v>240</v>
      </c>
    </row>
    <row r="145" spans="1:1" x14ac:dyDescent="0.25">
      <c r="A145" s="1" t="s">
        <v>241</v>
      </c>
    </row>
    <row r="146" spans="1:1" x14ac:dyDescent="0.25">
      <c r="A146" s="1" t="s">
        <v>242</v>
      </c>
    </row>
    <row r="147" spans="1:1" x14ac:dyDescent="0.25">
      <c r="A147" s="1" t="s">
        <v>243</v>
      </c>
    </row>
    <row r="148" spans="1:1" x14ac:dyDescent="0.25">
      <c r="A148" s="1" t="s">
        <v>244</v>
      </c>
    </row>
    <row r="149" spans="1:1" x14ac:dyDescent="0.25">
      <c r="A149" s="1" t="s">
        <v>245</v>
      </c>
    </row>
    <row r="150" spans="1:1" x14ac:dyDescent="0.25">
      <c r="A150" s="1" t="s">
        <v>246</v>
      </c>
    </row>
    <row r="151" spans="1:1" x14ac:dyDescent="0.25">
      <c r="A151" s="1" t="s">
        <v>247</v>
      </c>
    </row>
    <row r="152" spans="1:1" x14ac:dyDescent="0.25">
      <c r="A152" s="1" t="s">
        <v>248</v>
      </c>
    </row>
    <row r="153" spans="1:1" x14ac:dyDescent="0.25">
      <c r="A153" s="1" t="s">
        <v>249</v>
      </c>
    </row>
    <row r="154" spans="1:1" x14ac:dyDescent="0.25">
      <c r="A154" s="1" t="s">
        <v>250</v>
      </c>
    </row>
    <row r="155" spans="1:1" x14ac:dyDescent="0.25">
      <c r="A155" s="1" t="s">
        <v>251</v>
      </c>
    </row>
    <row r="156" spans="1:1" x14ac:dyDescent="0.25">
      <c r="A156" s="1" t="s">
        <v>252</v>
      </c>
    </row>
    <row r="157" spans="1:1" x14ac:dyDescent="0.25">
      <c r="A157" s="1" t="s">
        <v>253</v>
      </c>
    </row>
    <row r="158" spans="1:1" x14ac:dyDescent="0.25">
      <c r="A158" s="1" t="s">
        <v>254</v>
      </c>
    </row>
    <row r="159" spans="1:1" x14ac:dyDescent="0.25">
      <c r="A159" s="1" t="s">
        <v>255</v>
      </c>
    </row>
    <row r="160" spans="1:1" x14ac:dyDescent="0.25">
      <c r="A160" s="1" t="s">
        <v>256</v>
      </c>
    </row>
    <row r="161" spans="1:1" x14ac:dyDescent="0.25">
      <c r="A161" s="1" t="s">
        <v>257</v>
      </c>
    </row>
    <row r="162" spans="1:1" x14ac:dyDescent="0.25">
      <c r="A162" s="1" t="s">
        <v>258</v>
      </c>
    </row>
    <row r="163" spans="1:1" x14ac:dyDescent="0.25">
      <c r="A163" s="1" t="s">
        <v>259</v>
      </c>
    </row>
    <row r="164" spans="1:1" x14ac:dyDescent="0.25">
      <c r="A164" s="1" t="s">
        <v>260</v>
      </c>
    </row>
    <row r="165" spans="1:1" x14ac:dyDescent="0.25">
      <c r="A165" s="1" t="s">
        <v>261</v>
      </c>
    </row>
    <row r="166" spans="1:1" x14ac:dyDescent="0.25">
      <c r="A166" s="1" t="s">
        <v>262</v>
      </c>
    </row>
    <row r="167" spans="1:1" x14ac:dyDescent="0.25">
      <c r="A167" s="1" t="s">
        <v>263</v>
      </c>
    </row>
    <row r="168" spans="1:1" x14ac:dyDescent="0.25">
      <c r="A168" s="1" t="s">
        <v>264</v>
      </c>
    </row>
    <row r="169" spans="1:1" x14ac:dyDescent="0.25">
      <c r="A169" s="1" t="s">
        <v>265</v>
      </c>
    </row>
    <row r="170" spans="1:1" x14ac:dyDescent="0.25">
      <c r="A170" s="1" t="s">
        <v>266</v>
      </c>
    </row>
    <row r="171" spans="1:1" x14ac:dyDescent="0.25">
      <c r="A171" s="1" t="s">
        <v>267</v>
      </c>
    </row>
    <row r="172" spans="1:1" x14ac:dyDescent="0.25">
      <c r="A172" s="1" t="s">
        <v>268</v>
      </c>
    </row>
    <row r="173" spans="1:1" x14ac:dyDescent="0.25">
      <c r="A173" s="1" t="s">
        <v>269</v>
      </c>
    </row>
    <row r="174" spans="1:1" x14ac:dyDescent="0.25">
      <c r="A174" s="1" t="s">
        <v>270</v>
      </c>
    </row>
    <row r="175" spans="1:1" x14ac:dyDescent="0.25">
      <c r="A175" s="1" t="s">
        <v>271</v>
      </c>
    </row>
    <row r="176" spans="1:1" x14ac:dyDescent="0.25">
      <c r="A176" s="1" t="s">
        <v>272</v>
      </c>
    </row>
    <row r="177" spans="1:7" x14ac:dyDescent="0.25">
      <c r="A177" s="1" t="s">
        <v>273</v>
      </c>
      <c r="B177" s="2"/>
      <c r="C177" s="2"/>
      <c r="D177" s="2"/>
      <c r="E177" s="2"/>
      <c r="F177" s="2"/>
      <c r="G177" s="2"/>
    </row>
    <row r="178" spans="1:7" x14ac:dyDescent="0.25">
      <c r="A178" s="1" t="s">
        <v>274</v>
      </c>
      <c r="B178" s="2"/>
      <c r="C178" s="2"/>
      <c r="D178" s="2"/>
      <c r="E178" s="2"/>
      <c r="F178" s="2"/>
      <c r="G178" s="2"/>
    </row>
    <row r="179" spans="1:7" x14ac:dyDescent="0.25">
      <c r="A179" s="1" t="s">
        <v>275</v>
      </c>
      <c r="B179" s="2"/>
      <c r="C179" s="2"/>
      <c r="D179" s="2"/>
      <c r="E179" s="2"/>
      <c r="F179" s="2"/>
      <c r="G179" s="2"/>
    </row>
    <row r="180" spans="1:7" x14ac:dyDescent="0.25">
      <c r="A180" s="1" t="s">
        <v>276</v>
      </c>
      <c r="B180" s="2"/>
      <c r="C180" s="2"/>
      <c r="D180" s="2"/>
      <c r="E180" s="2"/>
      <c r="F180" s="2"/>
      <c r="G180" s="2"/>
    </row>
    <row r="181" spans="1:7" x14ac:dyDescent="0.25">
      <c r="A181" s="1" t="s">
        <v>277</v>
      </c>
      <c r="B181" s="2"/>
      <c r="C181" s="2"/>
      <c r="D181" s="2"/>
      <c r="E181" s="2"/>
      <c r="F181" s="2"/>
      <c r="G181" s="2"/>
    </row>
    <row r="182" spans="1:7" x14ac:dyDescent="0.25">
      <c r="A182" s="1" t="s">
        <v>278</v>
      </c>
      <c r="B182" s="2"/>
      <c r="C182" s="2"/>
      <c r="D182" s="2"/>
      <c r="E182" s="2"/>
      <c r="F182" s="2"/>
      <c r="G182" s="2"/>
    </row>
    <row r="183" spans="1:7" x14ac:dyDescent="0.25">
      <c r="A183" s="1" t="s">
        <v>279</v>
      </c>
      <c r="B183" s="2"/>
      <c r="C183" s="2"/>
      <c r="D183" s="2"/>
      <c r="E183" s="2"/>
      <c r="F183" s="2"/>
      <c r="G183" s="2"/>
    </row>
    <row r="184" spans="1:7" x14ac:dyDescent="0.25">
      <c r="A184" s="1" t="s">
        <v>280</v>
      </c>
      <c r="B184" s="2"/>
      <c r="C184" s="2"/>
      <c r="D184" s="2"/>
      <c r="E184" s="2"/>
      <c r="F184" s="2"/>
      <c r="G184" s="2"/>
    </row>
    <row r="185" spans="1:7" x14ac:dyDescent="0.25">
      <c r="A185" s="1" t="s">
        <v>281</v>
      </c>
      <c r="B185" s="2"/>
      <c r="C185" s="2"/>
      <c r="D185" s="2"/>
      <c r="E185" s="2"/>
      <c r="F185" s="2"/>
      <c r="G185" s="2"/>
    </row>
    <row r="186" spans="1:7" x14ac:dyDescent="0.25">
      <c r="A186" s="1" t="s">
        <v>282</v>
      </c>
      <c r="B186" s="2"/>
      <c r="C186" s="2"/>
      <c r="D186" s="2"/>
      <c r="E186" s="2"/>
      <c r="F186" s="2"/>
      <c r="G186" s="2"/>
    </row>
    <row r="187" spans="1:7" x14ac:dyDescent="0.25">
      <c r="A187" s="1" t="s">
        <v>283</v>
      </c>
      <c r="B187" s="2"/>
      <c r="C187" s="2"/>
      <c r="D187" s="2"/>
      <c r="E187" s="2"/>
      <c r="F187" s="2"/>
      <c r="G187" s="2"/>
    </row>
    <row r="188" spans="1:7" x14ac:dyDescent="0.25">
      <c r="A188" s="1" t="s">
        <v>284</v>
      </c>
      <c r="B188" s="2"/>
      <c r="C188" s="2"/>
      <c r="D188" s="2"/>
      <c r="E188" s="2"/>
      <c r="F188" s="2"/>
      <c r="G188" s="2"/>
    </row>
    <row r="189" spans="1:7" x14ac:dyDescent="0.25">
      <c r="A189" s="1" t="s">
        <v>285</v>
      </c>
      <c r="B189" s="2"/>
      <c r="C189" s="2"/>
      <c r="D189" s="2"/>
      <c r="E189" s="2"/>
      <c r="F189" s="2"/>
      <c r="G189" s="2"/>
    </row>
    <row r="190" spans="1:7" x14ac:dyDescent="0.25">
      <c r="A190" s="1" t="s">
        <v>286</v>
      </c>
      <c r="B190" s="2"/>
      <c r="C190" s="2"/>
      <c r="D190" s="2"/>
      <c r="E190" s="2"/>
      <c r="F190" s="2"/>
      <c r="G190" s="2"/>
    </row>
    <row r="191" spans="1:7" x14ac:dyDescent="0.25">
      <c r="A191" s="1" t="s">
        <v>287</v>
      </c>
      <c r="B191" s="2"/>
      <c r="C191" s="2"/>
      <c r="D191" s="2"/>
      <c r="E191" s="2"/>
      <c r="F191" s="2"/>
      <c r="G191" s="2"/>
    </row>
    <row r="192" spans="1:7" x14ac:dyDescent="0.25">
      <c r="A192" s="1" t="s">
        <v>288</v>
      </c>
      <c r="B192" s="2"/>
      <c r="C192" s="2"/>
      <c r="D192" s="2"/>
      <c r="E192" s="2"/>
      <c r="F192" s="2"/>
      <c r="G192" s="2"/>
    </row>
    <row r="193" spans="1:7" x14ac:dyDescent="0.25">
      <c r="A193" s="1" t="s">
        <v>289</v>
      </c>
      <c r="B193" s="2"/>
      <c r="C193" s="2"/>
      <c r="D193" s="2"/>
      <c r="E193" s="2"/>
      <c r="F193" s="2"/>
      <c r="G193" s="2"/>
    </row>
    <row r="194" spans="1:7" x14ac:dyDescent="0.25">
      <c r="A194" s="1" t="s">
        <v>290</v>
      </c>
      <c r="B194" s="2"/>
      <c r="C194" s="2"/>
      <c r="D194" s="2"/>
      <c r="E194" s="2"/>
      <c r="F194" s="2"/>
      <c r="G194" s="2"/>
    </row>
    <row r="195" spans="1:7" x14ac:dyDescent="0.25">
      <c r="A195" s="1" t="s">
        <v>291</v>
      </c>
      <c r="B195" s="2"/>
      <c r="C195" s="2"/>
      <c r="D195" s="2"/>
      <c r="E195" s="2"/>
      <c r="F195" s="2"/>
      <c r="G195" s="2"/>
    </row>
    <row r="196" spans="1:7" x14ac:dyDescent="0.25">
      <c r="A196" s="1" t="s">
        <v>292</v>
      </c>
      <c r="B196" s="2"/>
      <c r="C196" s="2"/>
      <c r="D196" s="2"/>
      <c r="E196" s="2"/>
      <c r="F196" s="2"/>
      <c r="G196" s="2"/>
    </row>
    <row r="197" spans="1:7" x14ac:dyDescent="0.25">
      <c r="A197" s="1" t="s">
        <v>293</v>
      </c>
      <c r="B197" s="2"/>
      <c r="C197" s="2"/>
      <c r="D197" s="2"/>
      <c r="E197" s="2"/>
      <c r="F197" s="2"/>
      <c r="G197" s="2"/>
    </row>
    <row r="198" spans="1:7" x14ac:dyDescent="0.25">
      <c r="A198" s="1" t="s">
        <v>294</v>
      </c>
      <c r="B198" s="2"/>
      <c r="C198" s="2"/>
      <c r="D198" s="2"/>
      <c r="E198" s="2"/>
      <c r="F198" s="2"/>
      <c r="G198" s="2"/>
    </row>
    <row r="199" spans="1:7" x14ac:dyDescent="0.25">
      <c r="A199" s="1" t="s">
        <v>295</v>
      </c>
      <c r="B199" s="2"/>
      <c r="C199" s="2"/>
      <c r="D199" s="2"/>
      <c r="E199" s="2"/>
      <c r="F199" s="2"/>
      <c r="G199" s="2"/>
    </row>
    <row r="200" spans="1:7" x14ac:dyDescent="0.25">
      <c r="A200" s="1" t="s">
        <v>296</v>
      </c>
      <c r="B200" s="2"/>
      <c r="C200" s="2"/>
      <c r="D200" s="2"/>
      <c r="E200" s="2"/>
      <c r="F200" s="2"/>
      <c r="G200" s="2"/>
    </row>
    <row r="201" spans="1:7" x14ac:dyDescent="0.25">
      <c r="A201" s="1" t="s">
        <v>297</v>
      </c>
      <c r="B201" s="2"/>
      <c r="C201" s="2"/>
      <c r="D201" s="2"/>
      <c r="E201" s="2"/>
      <c r="F201" s="2"/>
      <c r="G201" s="2"/>
    </row>
    <row r="202" spans="1:7" x14ac:dyDescent="0.25">
      <c r="A202" s="1" t="s">
        <v>298</v>
      </c>
      <c r="B202" s="2"/>
      <c r="C202" s="2"/>
      <c r="D202" s="2"/>
      <c r="E202" s="2"/>
      <c r="F202" s="2"/>
      <c r="G202" s="2"/>
    </row>
    <row r="203" spans="1:7" x14ac:dyDescent="0.25">
      <c r="A203" s="1" t="s">
        <v>299</v>
      </c>
      <c r="B203" s="2"/>
      <c r="C203" s="2"/>
      <c r="D203" s="2"/>
      <c r="E203" s="2"/>
      <c r="F203" s="2"/>
      <c r="G203" s="2"/>
    </row>
    <row r="204" spans="1:7" x14ac:dyDescent="0.25">
      <c r="A204" s="1" t="s">
        <v>300</v>
      </c>
      <c r="B204" s="2"/>
      <c r="C204" s="2"/>
      <c r="D204" s="2"/>
      <c r="E204" s="2"/>
      <c r="F204" s="2"/>
      <c r="G204" s="2"/>
    </row>
    <row r="205" spans="1:7" x14ac:dyDescent="0.25">
      <c r="A205" s="1" t="s">
        <v>301</v>
      </c>
      <c r="B205" s="2"/>
      <c r="C205" s="2"/>
      <c r="D205" s="2"/>
      <c r="E205" s="2"/>
      <c r="F205" s="2"/>
      <c r="G205" s="2"/>
    </row>
    <row r="206" spans="1:7" x14ac:dyDescent="0.25">
      <c r="A206" s="1" t="s">
        <v>302</v>
      </c>
      <c r="B206" s="2"/>
      <c r="C206" s="2"/>
      <c r="D206" s="2"/>
      <c r="E206" s="2"/>
      <c r="F206" s="2"/>
      <c r="G206" s="2"/>
    </row>
    <row r="207" spans="1:7" x14ac:dyDescent="0.25">
      <c r="A207" s="1" t="s">
        <v>303</v>
      </c>
      <c r="B207" s="2"/>
      <c r="C207" s="2"/>
      <c r="D207" s="2"/>
      <c r="E207" s="2"/>
      <c r="F207" s="2"/>
      <c r="G207" s="2"/>
    </row>
    <row r="208" spans="1:7" x14ac:dyDescent="0.25">
      <c r="A208" s="1" t="s">
        <v>304</v>
      </c>
      <c r="B208" s="2"/>
      <c r="C208" s="2"/>
      <c r="D208" s="2"/>
      <c r="E208" s="2"/>
      <c r="F208" s="2"/>
      <c r="G208" s="2"/>
    </row>
    <row r="209" spans="1:7" x14ac:dyDescent="0.25">
      <c r="A209" s="1" t="s">
        <v>305</v>
      </c>
      <c r="B209" s="2"/>
      <c r="C209" s="2"/>
      <c r="D209" s="2"/>
      <c r="E209" s="2"/>
      <c r="F209" s="2"/>
      <c r="G209" s="2"/>
    </row>
    <row r="210" spans="1:7" x14ac:dyDescent="0.25">
      <c r="A210" s="1" t="s">
        <v>306</v>
      </c>
      <c r="B210" s="2"/>
      <c r="C210" s="2"/>
      <c r="D210" s="2"/>
      <c r="E210" s="2"/>
      <c r="F210" s="2"/>
      <c r="G210" s="2"/>
    </row>
    <row r="211" spans="1:7" x14ac:dyDescent="0.25">
      <c r="A211" s="1" t="s">
        <v>307</v>
      </c>
      <c r="B211" s="2"/>
      <c r="C211" s="2"/>
      <c r="D211" s="2"/>
      <c r="E211" s="2"/>
      <c r="F211" s="2"/>
      <c r="G211" s="2"/>
    </row>
    <row r="212" spans="1:7" x14ac:dyDescent="0.25">
      <c r="A212" s="1" t="s">
        <v>308</v>
      </c>
      <c r="B212" s="2"/>
      <c r="C212" s="2"/>
      <c r="D212" s="2"/>
      <c r="E212" s="2"/>
      <c r="F212" s="2"/>
      <c r="G212" s="2"/>
    </row>
    <row r="213" spans="1:7" x14ac:dyDescent="0.25">
      <c r="A213" s="1" t="s">
        <v>309</v>
      </c>
      <c r="B213" s="2"/>
      <c r="C213" s="2"/>
      <c r="D213" s="2"/>
      <c r="E213" s="2"/>
      <c r="F213" s="2"/>
      <c r="G213" s="2"/>
    </row>
    <row r="214" spans="1:7" x14ac:dyDescent="0.25">
      <c r="A214" s="1" t="s">
        <v>310</v>
      </c>
      <c r="B214" s="2"/>
      <c r="C214" s="2"/>
      <c r="D214" s="2"/>
      <c r="E214" s="2"/>
      <c r="F214" s="2"/>
      <c r="G214" s="2"/>
    </row>
    <row r="215" spans="1:7" x14ac:dyDescent="0.25">
      <c r="A215" s="1" t="s">
        <v>311</v>
      </c>
      <c r="B215" s="2"/>
      <c r="C215" s="2"/>
      <c r="D215" s="2"/>
      <c r="E215" s="2"/>
      <c r="F215" s="2"/>
      <c r="G215" s="2"/>
    </row>
    <row r="216" spans="1:7" x14ac:dyDescent="0.25">
      <c r="A216" s="1" t="s">
        <v>312</v>
      </c>
      <c r="B216" s="2"/>
      <c r="C216" s="2"/>
      <c r="D216" s="2"/>
      <c r="E216" s="2"/>
      <c r="F216" s="2"/>
      <c r="G216" s="2"/>
    </row>
    <row r="217" spans="1:7" x14ac:dyDescent="0.25">
      <c r="A217" s="1" t="s">
        <v>313</v>
      </c>
      <c r="B217" s="2"/>
      <c r="C217" s="2"/>
      <c r="D217" s="2"/>
      <c r="E217" s="2"/>
      <c r="F217" s="2"/>
      <c r="G217" s="2"/>
    </row>
    <row r="218" spans="1:7" x14ac:dyDescent="0.25">
      <c r="A218" s="1" t="s">
        <v>314</v>
      </c>
      <c r="B218" s="2"/>
      <c r="C218" s="2"/>
      <c r="D218" s="2"/>
      <c r="E218" s="2"/>
      <c r="F218" s="2"/>
      <c r="G218" s="2"/>
    </row>
    <row r="219" spans="1:7" x14ac:dyDescent="0.25">
      <c r="A219" s="1" t="s">
        <v>315</v>
      </c>
      <c r="B219" s="2"/>
      <c r="C219" s="2"/>
      <c r="D219" s="2"/>
      <c r="E219" s="2"/>
      <c r="F219" s="2"/>
      <c r="G219" s="2"/>
    </row>
    <row r="220" spans="1:7" x14ac:dyDescent="0.25">
      <c r="A220" s="1" t="s">
        <v>316</v>
      </c>
      <c r="B220" s="2"/>
      <c r="C220" s="2"/>
      <c r="D220" s="2"/>
      <c r="E220" s="2"/>
      <c r="F220" s="2"/>
      <c r="G220" s="2"/>
    </row>
    <row r="221" spans="1:7" x14ac:dyDescent="0.25">
      <c r="A221" s="1" t="s">
        <v>317</v>
      </c>
      <c r="B221" s="2"/>
      <c r="C221" s="2"/>
      <c r="D221" s="2"/>
      <c r="E221" s="2"/>
      <c r="F221" s="2"/>
      <c r="G221" s="2"/>
    </row>
    <row r="222" spans="1:7" x14ac:dyDescent="0.25">
      <c r="A222" s="1" t="s">
        <v>318</v>
      </c>
      <c r="B222" s="2"/>
      <c r="C222" s="2"/>
      <c r="D222" s="2"/>
      <c r="E222" s="2"/>
      <c r="F222" s="2"/>
      <c r="G222" s="2"/>
    </row>
    <row r="223" spans="1:7" x14ac:dyDescent="0.25">
      <c r="A223" s="1" t="s">
        <v>319</v>
      </c>
      <c r="B223" s="2"/>
      <c r="C223" s="2"/>
      <c r="D223" s="2"/>
      <c r="E223" s="2"/>
      <c r="F223" s="2"/>
      <c r="G223" s="2"/>
    </row>
    <row r="224" spans="1:7" x14ac:dyDescent="0.25">
      <c r="A224" s="1" t="s">
        <v>320</v>
      </c>
      <c r="B224" s="2"/>
      <c r="C224" s="2"/>
      <c r="D224" s="2"/>
      <c r="E224" s="2"/>
      <c r="F224" s="2"/>
      <c r="G224" s="2"/>
    </row>
    <row r="225" spans="1:7" x14ac:dyDescent="0.25">
      <c r="A225" s="1" t="s">
        <v>321</v>
      </c>
      <c r="B225" s="2"/>
      <c r="C225" s="2"/>
      <c r="D225" s="2"/>
      <c r="E225" s="2"/>
      <c r="F225" s="2"/>
      <c r="G225" s="2"/>
    </row>
    <row r="226" spans="1:7" x14ac:dyDescent="0.25">
      <c r="A226" s="1" t="s">
        <v>322</v>
      </c>
      <c r="B226" s="2"/>
      <c r="C226" s="2"/>
      <c r="D226" s="2"/>
      <c r="E226" s="2"/>
      <c r="F226" s="2"/>
      <c r="G226" s="2"/>
    </row>
    <row r="227" spans="1:7" x14ac:dyDescent="0.25">
      <c r="A227" s="1" t="s">
        <v>323</v>
      </c>
      <c r="B227" s="2"/>
      <c r="C227" s="2"/>
      <c r="D227" s="2"/>
      <c r="E227" s="2"/>
      <c r="F227" s="2"/>
      <c r="G227" s="2"/>
    </row>
    <row r="228" spans="1:7" x14ac:dyDescent="0.25">
      <c r="A228" s="1" t="s">
        <v>324</v>
      </c>
      <c r="B228" s="2"/>
      <c r="C228" s="2"/>
      <c r="D228" s="2"/>
      <c r="E228" s="2"/>
      <c r="F228" s="2"/>
      <c r="G228" s="2"/>
    </row>
    <row r="229" spans="1:7" x14ac:dyDescent="0.25">
      <c r="A229" s="1" t="s">
        <v>325</v>
      </c>
      <c r="B229" s="2"/>
      <c r="C229" s="2"/>
      <c r="D229" s="2"/>
      <c r="E229" s="2"/>
      <c r="F229" s="2"/>
      <c r="G229" s="2"/>
    </row>
    <row r="230" spans="1:7" x14ac:dyDescent="0.25">
      <c r="A230" s="1" t="s">
        <v>326</v>
      </c>
      <c r="B230" s="2"/>
      <c r="C230" s="2"/>
      <c r="D230" s="2"/>
      <c r="E230" s="2"/>
      <c r="F230" s="2"/>
      <c r="G230" s="2"/>
    </row>
    <row r="231" spans="1:7" x14ac:dyDescent="0.25">
      <c r="A231" s="1" t="s">
        <v>327</v>
      </c>
      <c r="B231" s="2"/>
      <c r="C231" s="2"/>
      <c r="D231" s="2"/>
      <c r="E231" s="2"/>
      <c r="F231" s="2"/>
      <c r="G231" s="2"/>
    </row>
    <row r="232" spans="1:7" x14ac:dyDescent="0.25">
      <c r="A232" s="1" t="s">
        <v>328</v>
      </c>
      <c r="B232" s="2"/>
      <c r="C232" s="2"/>
      <c r="D232" s="2"/>
      <c r="E232" s="2"/>
      <c r="F232" s="2"/>
      <c r="G232" s="2"/>
    </row>
    <row r="233" spans="1:7" x14ac:dyDescent="0.25">
      <c r="A233" s="1" t="s">
        <v>329</v>
      </c>
      <c r="B233" s="2"/>
      <c r="C233" s="2"/>
      <c r="D233" s="2"/>
      <c r="E233" s="2"/>
      <c r="F233" s="2"/>
      <c r="G233" s="2"/>
    </row>
    <row r="234" spans="1:7" x14ac:dyDescent="0.25">
      <c r="A234" s="1" t="s">
        <v>330</v>
      </c>
      <c r="B234" s="2"/>
      <c r="C234" s="2"/>
      <c r="D234" s="2"/>
      <c r="E234" s="2"/>
      <c r="F234" s="2"/>
      <c r="G234" s="2"/>
    </row>
    <row r="235" spans="1:7" x14ac:dyDescent="0.25">
      <c r="A235" s="1" t="s">
        <v>331</v>
      </c>
      <c r="B235" s="2"/>
      <c r="C235" s="2"/>
      <c r="D235" s="2"/>
      <c r="E235" s="2"/>
      <c r="F235" s="2"/>
      <c r="G235" s="2"/>
    </row>
    <row r="236" spans="1:7" x14ac:dyDescent="0.25">
      <c r="A236" s="1" t="s">
        <v>332</v>
      </c>
      <c r="B236" s="2"/>
      <c r="C236" s="2"/>
      <c r="D236" s="2"/>
      <c r="E236" s="2"/>
      <c r="F236" s="2"/>
      <c r="G236" s="2"/>
    </row>
    <row r="237" spans="1:7" x14ac:dyDescent="0.25">
      <c r="A237" s="1" t="s">
        <v>333</v>
      </c>
      <c r="B237" s="2"/>
      <c r="C237" s="2"/>
      <c r="D237" s="2"/>
      <c r="E237" s="2"/>
      <c r="F237" s="2"/>
      <c r="G237" s="2"/>
    </row>
    <row r="238" spans="1:7" x14ac:dyDescent="0.25">
      <c r="A238" s="1" t="s">
        <v>334</v>
      </c>
      <c r="B238" s="2"/>
      <c r="C238" s="2"/>
      <c r="D238" s="2"/>
      <c r="E238" s="2"/>
      <c r="F238" s="2"/>
      <c r="G238" s="2"/>
    </row>
    <row r="239" spans="1:7" x14ac:dyDescent="0.25">
      <c r="A239" s="1" t="s">
        <v>335</v>
      </c>
      <c r="B239" s="2"/>
      <c r="C239" s="2"/>
      <c r="D239" s="2"/>
      <c r="E239" s="2"/>
      <c r="F239" s="2"/>
      <c r="G239" s="2"/>
    </row>
    <row r="240" spans="1:7" x14ac:dyDescent="0.25">
      <c r="A240" s="1" t="s">
        <v>336</v>
      </c>
      <c r="B240" s="2"/>
      <c r="C240" s="2"/>
      <c r="D240" s="2"/>
      <c r="E240" s="2"/>
      <c r="F240" s="2"/>
      <c r="G240" s="2"/>
    </row>
    <row r="241" spans="1:7" x14ac:dyDescent="0.25">
      <c r="A241" s="1" t="s">
        <v>337</v>
      </c>
      <c r="B241" s="2"/>
      <c r="C241" s="2"/>
      <c r="D241" s="2"/>
      <c r="E241" s="2"/>
      <c r="F241" s="2"/>
      <c r="G241" s="2"/>
    </row>
    <row r="242" spans="1:7" x14ac:dyDescent="0.25">
      <c r="A242" s="1" t="s">
        <v>338</v>
      </c>
      <c r="B242" s="2"/>
      <c r="C242" s="2"/>
      <c r="D242" s="2"/>
      <c r="E242" s="2"/>
      <c r="F242" s="2"/>
      <c r="G242" s="2"/>
    </row>
    <row r="243" spans="1:7" x14ac:dyDescent="0.25">
      <c r="A243" s="1" t="s">
        <v>339</v>
      </c>
      <c r="B243" s="2"/>
      <c r="C243" s="2"/>
      <c r="D243" s="2"/>
      <c r="E243" s="2"/>
      <c r="F243" s="2"/>
      <c r="G243" s="2"/>
    </row>
    <row r="244" spans="1:7" x14ac:dyDescent="0.25">
      <c r="A244" s="1" t="s">
        <v>340</v>
      </c>
      <c r="B244" s="2"/>
      <c r="C244" s="2"/>
      <c r="D244" s="2"/>
      <c r="E244" s="2"/>
      <c r="F244" s="2"/>
      <c r="G244" s="2"/>
    </row>
    <row r="245" spans="1:7" x14ac:dyDescent="0.25">
      <c r="A245" s="1" t="s">
        <v>341</v>
      </c>
      <c r="B245" s="2"/>
      <c r="C245" s="2"/>
      <c r="D245" s="2"/>
      <c r="E245" s="2"/>
      <c r="F245" s="2"/>
      <c r="G245" s="2"/>
    </row>
    <row r="246" spans="1:7" x14ac:dyDescent="0.25">
      <c r="A246" s="1" t="s">
        <v>342</v>
      </c>
      <c r="B246" s="2"/>
      <c r="C246" s="2"/>
      <c r="D246" s="2"/>
      <c r="E246" s="2"/>
      <c r="F246" s="2"/>
      <c r="G246" s="2"/>
    </row>
    <row r="247" spans="1:7" x14ac:dyDescent="0.25">
      <c r="A247" s="1" t="s">
        <v>343</v>
      </c>
      <c r="B247" s="2"/>
      <c r="C247" s="2"/>
      <c r="D247" s="2"/>
      <c r="E247" s="2"/>
      <c r="F247" s="2"/>
      <c r="G247" s="2"/>
    </row>
    <row r="248" spans="1:7" x14ac:dyDescent="0.25">
      <c r="A248" s="1" t="s">
        <v>344</v>
      </c>
      <c r="B248" s="2"/>
      <c r="C248" s="2"/>
      <c r="D248" s="2"/>
      <c r="E248" s="2"/>
      <c r="F248" s="2"/>
      <c r="G248" s="2"/>
    </row>
    <row r="249" spans="1:7" x14ac:dyDescent="0.25">
      <c r="A249" s="1" t="s">
        <v>345</v>
      </c>
      <c r="B249" s="2"/>
      <c r="C249" s="2"/>
      <c r="D249" s="2"/>
      <c r="E249" s="2"/>
      <c r="F249" s="2"/>
      <c r="G249" s="2"/>
    </row>
    <row r="250" spans="1:7" x14ac:dyDescent="0.25">
      <c r="A250" s="1" t="s">
        <v>346</v>
      </c>
      <c r="B250" s="2"/>
      <c r="C250" s="2"/>
      <c r="D250" s="2"/>
      <c r="E250" s="2"/>
      <c r="F250" s="2"/>
      <c r="G250" s="2"/>
    </row>
    <row r="251" spans="1:7" x14ac:dyDescent="0.25">
      <c r="A251" s="1" t="s">
        <v>347</v>
      </c>
      <c r="B251" s="2"/>
      <c r="C251" s="2"/>
      <c r="D251" s="2"/>
      <c r="E251" s="2"/>
      <c r="F251" s="2"/>
      <c r="G251" s="2"/>
    </row>
    <row r="252" spans="1:7" x14ac:dyDescent="0.25">
      <c r="A252" s="1" t="s">
        <v>348</v>
      </c>
      <c r="B252" s="2"/>
      <c r="C252" s="2"/>
      <c r="D252" s="2"/>
      <c r="E252" s="2"/>
      <c r="F252" s="2"/>
      <c r="G252" s="2"/>
    </row>
    <row r="253" spans="1:7" x14ac:dyDescent="0.25">
      <c r="A253" s="1" t="s">
        <v>349</v>
      </c>
      <c r="B253" s="2"/>
      <c r="C253" s="2"/>
      <c r="D253" s="2"/>
      <c r="E253" s="2"/>
      <c r="F253" s="2"/>
      <c r="G253" s="2"/>
    </row>
    <row r="254" spans="1:7" x14ac:dyDescent="0.25">
      <c r="A254" s="1" t="s">
        <v>350</v>
      </c>
      <c r="B254" s="2"/>
      <c r="C254" s="2"/>
      <c r="D254" s="2"/>
      <c r="E254" s="2"/>
      <c r="F254" s="2"/>
      <c r="G254" s="2"/>
    </row>
    <row r="255" spans="1:7" x14ac:dyDescent="0.25">
      <c r="A255" s="1" t="s">
        <v>351</v>
      </c>
      <c r="B255" s="2"/>
      <c r="C255" s="2"/>
      <c r="D255" s="2"/>
      <c r="E255" s="2"/>
      <c r="F255" s="2"/>
      <c r="G255" s="2"/>
    </row>
    <row r="256" spans="1:7" x14ac:dyDescent="0.25">
      <c r="A256" s="1" t="s">
        <v>352</v>
      </c>
      <c r="B256" s="2"/>
      <c r="C256" s="2"/>
      <c r="D256" s="2"/>
      <c r="E256" s="2"/>
      <c r="F256" s="2"/>
      <c r="G256" s="2"/>
    </row>
    <row r="257" spans="1:7" x14ac:dyDescent="0.25">
      <c r="A257" s="1" t="s">
        <v>353</v>
      </c>
      <c r="B257" s="2"/>
      <c r="C257" s="2"/>
      <c r="D257" s="2"/>
      <c r="E257" s="2"/>
      <c r="F257" s="2"/>
      <c r="G257" s="2"/>
    </row>
    <row r="258" spans="1:7" x14ac:dyDescent="0.25">
      <c r="A258" s="1" t="s">
        <v>354</v>
      </c>
      <c r="B258" s="2"/>
      <c r="C258" s="2"/>
      <c r="D258" s="2"/>
      <c r="E258" s="2"/>
      <c r="F258" s="2"/>
      <c r="G258" s="2"/>
    </row>
    <row r="259" spans="1:7" x14ac:dyDescent="0.25">
      <c r="A259" s="1" t="s">
        <v>355</v>
      </c>
      <c r="B259" s="2"/>
      <c r="C259" s="2"/>
      <c r="D259" s="2"/>
      <c r="E259" s="2"/>
      <c r="F259" s="2"/>
      <c r="G259" s="2"/>
    </row>
    <row r="260" spans="1:7" x14ac:dyDescent="0.25">
      <c r="A260" s="1" t="s">
        <v>356</v>
      </c>
      <c r="B260" s="2"/>
      <c r="C260" s="2"/>
      <c r="D260" s="2"/>
      <c r="E260" s="2"/>
      <c r="F260" s="2"/>
      <c r="G260" s="2"/>
    </row>
    <row r="261" spans="1:7" x14ac:dyDescent="0.25">
      <c r="A261" s="1" t="s">
        <v>357</v>
      </c>
      <c r="B261" s="2"/>
      <c r="C261" s="2"/>
      <c r="D261" s="2"/>
      <c r="E261" s="2"/>
      <c r="F261" s="2"/>
      <c r="G261" s="2"/>
    </row>
    <row r="262" spans="1:7" x14ac:dyDescent="0.25">
      <c r="A262" s="1" t="s">
        <v>358</v>
      </c>
      <c r="B262" s="2"/>
      <c r="C262" s="2"/>
      <c r="D262" s="2"/>
      <c r="E262" s="2"/>
      <c r="F262" s="2"/>
      <c r="G262" s="2"/>
    </row>
    <row r="263" spans="1:7" x14ac:dyDescent="0.25">
      <c r="A263" s="1" t="s">
        <v>359</v>
      </c>
      <c r="B263" s="2"/>
      <c r="C263" s="2"/>
      <c r="D263" s="2"/>
      <c r="E263" s="2"/>
      <c r="F263" s="2"/>
      <c r="G263" s="2"/>
    </row>
    <row r="264" spans="1:7" x14ac:dyDescent="0.25">
      <c r="A264" s="1" t="s">
        <v>360</v>
      </c>
      <c r="B264" s="2"/>
      <c r="C264" s="2"/>
      <c r="D264" s="2"/>
      <c r="E264" s="2"/>
      <c r="F264" s="2"/>
      <c r="G264" s="2"/>
    </row>
    <row r="265" spans="1:7" x14ac:dyDescent="0.25">
      <c r="A265" s="1" t="s">
        <v>361</v>
      </c>
    </row>
    <row r="266" spans="1:7" x14ac:dyDescent="0.25">
      <c r="A266" s="1" t="s">
        <v>362</v>
      </c>
    </row>
    <row r="267" spans="1:7" x14ac:dyDescent="0.25">
      <c r="A267" s="1" t="s">
        <v>363</v>
      </c>
    </row>
    <row r="268" spans="1:7" x14ac:dyDescent="0.25">
      <c r="A268" s="1" t="s">
        <v>364</v>
      </c>
    </row>
    <row r="269" spans="1:7" x14ac:dyDescent="0.25">
      <c r="A269" s="1" t="s">
        <v>365</v>
      </c>
    </row>
    <row r="270" spans="1:7" x14ac:dyDescent="0.25">
      <c r="A270" s="1" t="s">
        <v>366</v>
      </c>
    </row>
    <row r="271" spans="1:7" x14ac:dyDescent="0.25">
      <c r="A271" s="1" t="s">
        <v>367</v>
      </c>
    </row>
    <row r="272" spans="1:7" x14ac:dyDescent="0.25">
      <c r="A272" s="1" t="s">
        <v>368</v>
      </c>
    </row>
    <row r="273" spans="1:1" x14ac:dyDescent="0.25">
      <c r="A273" s="1" t="s">
        <v>385</v>
      </c>
    </row>
    <row r="274" spans="1:1" x14ac:dyDescent="0.25">
      <c r="A274" s="1" t="s">
        <v>386</v>
      </c>
    </row>
    <row r="275" spans="1:1" x14ac:dyDescent="0.25">
      <c r="A275" s="1" t="s">
        <v>387</v>
      </c>
    </row>
    <row r="276" spans="1:1" x14ac:dyDescent="0.25">
      <c r="A276" s="1" t="s">
        <v>388</v>
      </c>
    </row>
    <row r="277" spans="1:1" x14ac:dyDescent="0.25">
      <c r="A277" s="1" t="s">
        <v>389</v>
      </c>
    </row>
    <row r="278" spans="1:1" x14ac:dyDescent="0.25">
      <c r="A278" s="1" t="s">
        <v>390</v>
      </c>
    </row>
    <row r="279" spans="1:1" x14ac:dyDescent="0.25">
      <c r="A279" s="1" t="s">
        <v>391</v>
      </c>
    </row>
    <row r="280" spans="1:1" x14ac:dyDescent="0.25">
      <c r="A280" s="1" t="s">
        <v>392</v>
      </c>
    </row>
    <row r="281" spans="1:1" x14ac:dyDescent="0.25">
      <c r="A281" s="1" t="s">
        <v>393</v>
      </c>
    </row>
    <row r="282" spans="1:1" x14ac:dyDescent="0.25">
      <c r="A282" s="1" t="s">
        <v>394</v>
      </c>
    </row>
    <row r="283" spans="1:1" x14ac:dyDescent="0.25">
      <c r="A283" s="1" t="s">
        <v>395</v>
      </c>
    </row>
    <row r="284" spans="1:1" x14ac:dyDescent="0.25">
      <c r="A284" s="1" t="s">
        <v>396</v>
      </c>
    </row>
    <row r="285" spans="1:1" x14ac:dyDescent="0.25">
      <c r="A285" s="1" t="s">
        <v>397</v>
      </c>
    </row>
    <row r="286" spans="1:1" x14ac:dyDescent="0.25">
      <c r="A286" s="1" t="s">
        <v>398</v>
      </c>
    </row>
    <row r="287" spans="1:1" x14ac:dyDescent="0.25">
      <c r="A287" s="1" t="s">
        <v>399</v>
      </c>
    </row>
    <row r="288" spans="1:1" x14ac:dyDescent="0.25">
      <c r="A288" s="1" t="s">
        <v>400</v>
      </c>
    </row>
  </sheetData>
  <phoneticPr fontId="12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01</cp:lastModifiedBy>
  <dcterms:created xsi:type="dcterms:W3CDTF">2011-06-30T00:09:00Z</dcterms:created>
  <dcterms:modified xsi:type="dcterms:W3CDTF">2022-04-17T11:25:52Z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(3)2a4sjqkm4vlO77cT1tO0yAvaHNaWyiVWnK6Dx69FddClAnSY5zPwiDmcDOuAkHDzWQbRBL6G_x000d__x000d__x000d_
5Z4Wn4DWmClGCplZz6LBmezPzWEYkeFshL+kIVJe1PH2ZC4eJrO9Sd4L+8LS+vE9ZD0OeQYk_x000d__x000d__x000d_
osGPG2kKwiLy7Z4P7g0b4TU2rs83AJl7EzSdHRN1GKcGw/Cgb8KsGr4NwlQBUOLzfDlFzkiy_x000d__x000d__x000d_
bANGrPyEVmtH0agVkt</vt:lpwstr>
  </property>
  <property fmtid="{D5CDD505-2E9C-101B-9397-08002B2CF9AE}" pid="16" name="_2015_ms_pID_7253431">
    <vt:lpwstr>Ow4zijgcID/v8XzWXRIE0gAsvYn0ll+4KVpYGlUhJOUkN8CKy6aP39_x000d__x000d__x000d_
Yb1Bc5y6LKNIv8XlJsqJdf2yeknNKiAfhjm3ToyooNSYAYUvJnxgPLWAw31W+VoRnNdIPxHg_x000d__x000d__x000d_
YWw/9ZnuCj3QR+/MMOk0VphNdDen6UvNHWKYqQMlL79W8538frQqZr1Dzi70aBCqt53uIEOo_x000d__x000d__x000d_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  <property fmtid="{D5CDD505-2E9C-101B-9397-08002B2CF9AE}" pid="22" name="KSOProductBuildVer">
    <vt:lpwstr>2052-11.1.0.9912</vt:lpwstr>
  </property>
</Properties>
</file>